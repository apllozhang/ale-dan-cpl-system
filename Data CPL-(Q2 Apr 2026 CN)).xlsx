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2375" tabRatio="938" firstSheet="17" activeTab="21"/>
  </bookViews>
  <sheets>
    <sheet name="Summary" sheetId="1" r:id="rId1"/>
    <sheet name="OmniSwitch 9900" sheetId="2" r:id="rId2"/>
    <sheet name="OmniSwitch 9500" sheetId="3" r:id="rId3"/>
    <sheet name="OS9500 POL" sheetId="4" r:id="rId4"/>
    <sheet name="OmniSwitch 6920" sheetId="5" r:id="rId5"/>
    <sheet name="OmniSwitch 6900" sheetId="6" r:id="rId6"/>
    <sheet name="OmniSwitch 6870 " sheetId="7" r:id="rId7"/>
    <sheet name="OmniSwitch 6865" sheetId="8" r:id="rId8"/>
    <sheet name="OmniSwitch 6860" sheetId="9" r:id="rId9"/>
    <sheet name="OmniSwitch 6575" sheetId="10" r:id="rId10"/>
    <sheet name="OmniSwitch 6570" sheetId="11" r:id="rId11"/>
    <sheet name="OmniSwitch 6560" sheetId="12" r:id="rId12"/>
    <sheet name="OmniSwitch 6465" sheetId="13" r:id="rId13"/>
    <sheet name="OmniSwitch 6450" sheetId="14" r:id="rId14"/>
    <sheet name="OS6360" sheetId="15" r:id="rId15"/>
    <sheet name="OmniSwitch 6350" sheetId="16" r:id="rId16"/>
    <sheet name="OmniSwitch 6250" sheetId="17" r:id="rId17"/>
    <sheet name="OS2260 OS2360" sheetId="18" r:id="rId18"/>
    <sheet name="OmniSwitch 2220" sheetId="19" r:id="rId19"/>
    <sheet name="国产化OS2960 OS2560 OS2160" sheetId="20" r:id="rId20"/>
    <sheet name="Transceivers" sheetId="21" r:id="rId21"/>
    <sheet name="OmniAccess Stellar WLAN" sheetId="22" r:id="rId22"/>
    <sheet name="OmniAccess WLAN" sheetId="23" r:id="rId23"/>
    <sheet name="OmniAccess ESR" sheetId="24" r:id="rId24"/>
    <sheet name="OmniVista 2500 NMS" sheetId="25" r:id="rId25"/>
    <sheet name="OmniVista 3600" sheetId="26" r:id="rId26"/>
    <sheet name="Service and Support" sheetId="29" r:id="rId27"/>
    <sheet name="Accessories" sheetId="30" r:id="rId28"/>
    <sheet name="LBS场景化报价模型" sheetId="32" state="hidden" r:id="rId29"/>
  </sheets>
  <externalReferences>
    <externalReference r:id="rId30"/>
  </externalReferences>
  <definedNames>
    <definedName name="_xlnm._FilterDatabase" localSheetId="1" hidden="1">'OmniSwitch 9900'!$A$1:$J$78</definedName>
    <definedName name="_xlnm._FilterDatabase" localSheetId="4" hidden="1">'OmniSwitch 6920'!$A$1:$J$27</definedName>
    <definedName name="_xlnm._FilterDatabase" localSheetId="5" hidden="1">'OmniSwitch 6900'!$A$1:$J$64</definedName>
    <definedName name="_xlnm._FilterDatabase" localSheetId="6" hidden="1">'OmniSwitch 6870 '!$A$1:$J$42</definedName>
    <definedName name="_xlnm._FilterDatabase" localSheetId="7" hidden="1">'OmniSwitch 6865'!$A$1:$J$41</definedName>
    <definedName name="_xlnm._FilterDatabase" localSheetId="8" hidden="1">'OmniSwitch 6860'!$A$1:$J$48</definedName>
    <definedName name="_xlnm._FilterDatabase" localSheetId="9" hidden="1">'OmniSwitch 6575'!$A$1:$J$38</definedName>
    <definedName name="_xlnm._FilterDatabase" localSheetId="10" hidden="1">'OmniSwitch 6570'!$A$1:$J$25</definedName>
    <definedName name="_xlnm._FilterDatabase" localSheetId="11" hidden="1">'OmniSwitch 6560'!$A$1:$J$41</definedName>
    <definedName name="_xlnm._FilterDatabase" localSheetId="12" hidden="1">'OmniSwitch 6465'!$A$1:$J$42</definedName>
    <definedName name="_xlnm._FilterDatabase" localSheetId="13" hidden="1">'OmniSwitch 6450'!$A$1:$J$7</definedName>
    <definedName name="_xlnm._FilterDatabase" localSheetId="14" hidden="1">'OS6360'!$A$1:$J$45</definedName>
    <definedName name="_xlnm._FilterDatabase" localSheetId="15" hidden="1">'OmniSwitch 6350'!$A$1:$J$13</definedName>
    <definedName name="_xlnm._FilterDatabase" localSheetId="16" hidden="1">'OmniSwitch 6250'!$A$1:$K$4</definedName>
    <definedName name="_xlnm._FilterDatabase" localSheetId="18" hidden="1">'OmniSwitch 2220'!$A$1:$J$7</definedName>
    <definedName name="_xlnm._FilterDatabase" localSheetId="20" hidden="1">Transceivers!$A$1:$G$127</definedName>
    <definedName name="_xlnm._FilterDatabase" localSheetId="21" hidden="1">'OmniAccess Stellar WLAN'!$A$1:$J$328</definedName>
    <definedName name="_xlnm._FilterDatabase" localSheetId="22" hidden="1">'OmniAccess WLAN'!$A$1:$J$3</definedName>
    <definedName name="_xlnm._FilterDatabase" localSheetId="24" hidden="1">'OmniVista 2500 NMS'!$A$1:$J$178</definedName>
    <definedName name="_xlnm._FilterDatabase" localSheetId="25" hidden="1">'OmniVista 3600'!$A$1:$J$48</definedName>
    <definedName name="_xlnm._FilterDatabase" localSheetId="27" hidden="1">Accessories!$A$1:$J$7</definedName>
    <definedName name="_xlnm.Print_Area" localSheetId="27">Accessories!$A$1:$J$7</definedName>
    <definedName name="_xlnm.Print_Area" localSheetId="21">'OmniAccess Stellar WLAN'!$A$1:$J$57</definedName>
    <definedName name="_xlnm.Print_Area" localSheetId="22">'OmniAccess WLAN'!$A$1:$J$1</definedName>
    <definedName name="_xlnm.Print_Area" localSheetId="16">'OmniSwitch 6250'!$A$1:$J$1</definedName>
    <definedName name="_xlnm.Print_Area" localSheetId="13">'OmniSwitch 6450'!$A$1:$J$1</definedName>
    <definedName name="_xlnm.Print_Area" localSheetId="8">'OmniSwitch 6860'!$A$1:$J$20</definedName>
    <definedName name="_xlnm.Print_Area" localSheetId="6">'OmniSwitch 6870 '!$A$1:$J$2</definedName>
    <definedName name="_xlnm.Print_Area" localSheetId="5">'OmniSwitch 6900'!$A$1:$J$40</definedName>
    <definedName name="_xlnm.Print_Area" localSheetId="4">'OmniSwitch 6920'!$A$1:$J$10</definedName>
    <definedName name="_xlnm.Print_Area" localSheetId="24">'OmniVista 2500 NMS'!$A$1:$J$43</definedName>
    <definedName name="_xlnm.Print_Area" localSheetId="25">'OmniVista 3600'!$A$1:$J$12</definedName>
    <definedName name="_xlnm.Print_Area" localSheetId="20">Transceivers!$A$1:$G$87</definedName>
    <definedName name="_xlnm.Print_Titles" localSheetId="27">Accessories!$1:$1</definedName>
    <definedName name="_xlnm.Print_Titles" localSheetId="4">'OmniSwitch 6920'!$1:$1</definedName>
    <definedName name="_xlnm.Print_Titles" localSheetId="24">'OmniVista 2500 NMS'!$1:$1</definedName>
    <definedName name="_xlnm.Print_Titles" localSheetId="25">'OmniVista 3600'!$1:$1</definedName>
    <definedName name="_xlnm.Print_Titles" localSheetId="20">Transceivers!$1:$1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<sst xmlns="http://schemas.openxmlformats.org/spreadsheetml/2006/main" count="8481" uniqueCount="2946">
  <si>
    <t>2026年4月CPL主要变化如下：</t>
  </si>
  <si>
    <t>新发布</t>
  </si>
  <si>
    <t>新增 OmniSwitch 6920 产品和服务</t>
  </si>
  <si>
    <t>新增 OmniSwitch 6575 产品和服务</t>
  </si>
  <si>
    <t>新增 OmniAccess Stellar  OAW-AP1501-RW</t>
  </si>
  <si>
    <t>新增 OmniAccess Stellar  OAW-AP1501-RW 支持服务</t>
  </si>
  <si>
    <t>新增 400G 光纤收发器以及线缆</t>
  </si>
  <si>
    <t/>
  </si>
  <si>
    <t>调整</t>
  </si>
  <si>
    <t>依据EF-Pricing-P029-CN通知调整价格</t>
  </si>
  <si>
    <t>停产</t>
  </si>
  <si>
    <t>停止 OmniSwitch 6450 部分服务</t>
  </si>
  <si>
    <t>停止 OmniSwitch 6350 部分服务</t>
  </si>
  <si>
    <t>停止 OmniSwitch 6250 部分服务</t>
  </si>
  <si>
    <t>停止 OmniSwitch 2220 部分服务</t>
  </si>
  <si>
    <t>停止 OmniAccess Stellar POE电源注入器 PD-9601GO/AC，PD-9001-25GR/AC 销售  (已删除)</t>
  </si>
  <si>
    <t>WPL版本：q2-april-2026-wwpl-excel-version-id3811-1-april_Price Increase</t>
  </si>
  <si>
    <t>Note: All prices in RMB, inclusive Value-added tax(VAT).（共31类）</t>
  </si>
  <si>
    <t>税收小类</t>
  </si>
  <si>
    <t>POE电源注入器</t>
  </si>
  <si>
    <t>UWB标签</t>
  </si>
  <si>
    <t>UWB基站</t>
  </si>
  <si>
    <t>安装件</t>
  </si>
  <si>
    <t>策略硬件应用系统</t>
  </si>
  <si>
    <t>存储附件</t>
  </si>
  <si>
    <t>电源模块</t>
  </si>
  <si>
    <t>电源适配器</t>
  </si>
  <si>
    <t>电源线</t>
  </si>
  <si>
    <t>风扇模块</t>
  </si>
  <si>
    <t>服务器</t>
  </si>
  <si>
    <t>工业POE交换机</t>
  </si>
  <si>
    <t>工业级光纤收发器</t>
  </si>
  <si>
    <t>工业交换机</t>
  </si>
  <si>
    <t>管理引擎模块</t>
  </si>
  <si>
    <t>光纤附件</t>
  </si>
  <si>
    <t>光纤收发器</t>
  </si>
  <si>
    <t>盒式POE交换机</t>
  </si>
  <si>
    <t>盒式交换机</t>
  </si>
  <si>
    <t>交换机主机箱</t>
  </si>
  <si>
    <t>交换矩阵模块</t>
  </si>
  <si>
    <t>接口卡</t>
  </si>
  <si>
    <t>接口转换器</t>
  </si>
  <si>
    <t>接入点附件</t>
  </si>
  <si>
    <t>蓝牙设备</t>
  </si>
  <si>
    <t>软件许可</t>
  </si>
  <si>
    <t>天线及附件</t>
  </si>
  <si>
    <t>无线接入点</t>
  </si>
  <si>
    <t>无线控制器</t>
  </si>
  <si>
    <t>线缆</t>
  </si>
  <si>
    <t>支持服务</t>
  </si>
  <si>
    <t>产品组件</t>
  </si>
  <si>
    <t>税务小类</t>
  </si>
  <si>
    <t>产品型号</t>
  </si>
  <si>
    <t>产品说明</t>
  </si>
  <si>
    <t>销售类别</t>
  </si>
  <si>
    <t>服务类别</t>
  </si>
  <si>
    <t>产品状态</t>
  </si>
  <si>
    <t>媒体价</t>
  </si>
  <si>
    <t>价格说明</t>
  </si>
  <si>
    <t>新品</t>
  </si>
  <si>
    <t>备注</t>
  </si>
  <si>
    <t>OmniSwitch 9900 Chassis</t>
  </si>
  <si>
    <t>OS9907-CHAS</t>
  </si>
  <si>
    <t>OS9907机箱，具有11个插槽，7个前面板插槽用于接入CMM和NI，4个后置插槽用于接入交换矩阵卡，包含3个风扇模块，5个专用插槽可以接入任何OS9900系列网络接口板卡，1个引擎（CMM）插槽，1个多用途插槽可以接入引擎模块（CMM）或网络接口板卡，4个专用插槽用于接入交换矩阵卡（CFMs），4个电源模块插槽。</t>
  </si>
  <si>
    <t>C</t>
  </si>
  <si>
    <t>Standard</t>
  </si>
  <si>
    <t>OmniSwitch 9900 Chassis Bundles</t>
  </si>
  <si>
    <t>OS9907-CB2-D</t>
  </si>
  <si>
    <t xml:space="preserve">OS9907 基本直流电源及 SSL（DES, 3DES, RC2, RC4）套件，包含 1 台 OS9907 机箱， 含 3 个风扇模块，1 个 OS99-CMM2 管理引擎模块，1 个 OS9907-CFM2 交换矩阵模块， 1 个 OS99-PS-D 电源模块和全功能 AOS 软件，含国标电源线 </t>
  </si>
  <si>
    <t>Contact</t>
  </si>
  <si>
    <t>OS9907-CB2</t>
  </si>
  <si>
    <t xml:space="preserve">OS9907 基本交流电源及 SSL（DES, 3DES, RC2, RC4）套件，包含 1 台 OS9907 机箱， 含 3 个风扇模块，1 个 OS99-CMM2 管理引擎模块，1 个 OS9907-CFM2 交换矩阵模块， 1 个 OS99-PS-A 电源模块和全功能 AOS 软件，含国标电源线 </t>
  </si>
  <si>
    <t>OS9907-RCB2-D</t>
  </si>
  <si>
    <t xml:space="preserve">OS9907 冗余直流电源及 SSL（DES, 3DES, RC2, RC4）套件，包含 1 台 OS9907 机箱， 含 3 个风扇模块，2 个 OS99-CMM2 管理引擎模块，2 个 OS9907-CFM2 交换矩阵模块， 2 个 OS99-PS-D 电源模块和全功能 AOS 软件，含国标电源线 </t>
  </si>
  <si>
    <t>OS9907-RCB2</t>
  </si>
  <si>
    <t>OS9907 冗余交流电源及 SSL（DES, 3DES, RC2, RC4）套件，包含 1 台 OS9907 机箱， 含 3 个风扇模块，2 个 OS99-CMM2 管理引擎模块，2 个 OS9907-CFM2 交换矩阵模块， 2 个 OS99-PS-A 电源模块和全功能 AOS 软件，含国标电源线</t>
  </si>
  <si>
    <t>OS9912-CHAS</t>
  </si>
  <si>
    <t>OS9912机箱，具有16个插槽，12个前面板插槽用于接入CMM和NI，4个后置插槽用于接入交换矩阵卡，包含3个风扇模块，10个专用插槽可以接入任何OS9900系列网络接口板卡，2个引擎（CMM）插槽，4个专用插槽用于接入交换矩阵卡（CFMs），4个电源模块插槽。</t>
  </si>
  <si>
    <t>OS9912-CB</t>
  </si>
  <si>
    <t>OS9912基本交流电源套件，包含1个带3个风扇模块的OS9912机箱，含1个OS99-CMM2，1个OS9912-CFM交换矩阵模块，1个OS99-PS-A电源，以及全功能AOS软件，包括高级IP路由SW IPv4/IPv6，包括国标电源线。</t>
  </si>
  <si>
    <t>OS9912-CB-D</t>
  </si>
  <si>
    <t>OS9912基本直流电源套件，包含1个带3个风扇模块的OS9912机箱，含1个OS99-CMM2，1个OS9912-CFM交换矩阵模块，1个OS99-PS-D电源，以及全功能AOS软件，包括高级IP路由SW IPv4/IPv6，包括国标电源线。</t>
  </si>
  <si>
    <t>OS9912-RCB</t>
  </si>
  <si>
    <t>OS9912冗余交流电源套件，包含1个带3个风扇模块的OS9912机箱，含2个OS99-CMM2，2个OS9912-CFM交换矩阵模块，2个OS99-PS-A电源，以及全功能AOS软件，包括高级IP路由SW IPv4/IPv6，包括国标电源线。</t>
  </si>
  <si>
    <t>OS9912-RCB-D</t>
  </si>
  <si>
    <t>OS9912冗余直流电源套件，包含1个带3个风扇模块的OS9912机箱，含2个OS99-CMM2，2个OS9912-CFM交换矩阵模块，2个OS99-PS-D电源，以及全功能AOS软件，包括高级IP路由SW IPv4/IPv6，包括国标电源线。</t>
  </si>
  <si>
    <t>OmniSwitch 9900 Modules</t>
  </si>
  <si>
    <t>OS99-CMM2</t>
  </si>
  <si>
    <t>OS9900系列第二代管理引擎模块，与OS9912兼容。 OS99-CMM2包含一个处理器模块，4个100G QSFP28端口和AOS软件，包含高级IP路由SW IPv4/IPv6。</t>
  </si>
  <si>
    <t>OS99-CNI-U8</t>
  </si>
  <si>
    <t>OS9900系列100G接口卡，提供8个线速QSFP28端口的100GE端口，该款增强型板卡支持MACSEC，并且可以提供大表项的L2，L3功能和ACL策略。</t>
  </si>
  <si>
    <t>OS99-GNI-48</t>
  </si>
  <si>
    <t>OS9900系列千兆电口网络接口卡，提供48个RJ-45 1000/100/10Base-T接口，该款增强型板卡支持MACSEC，并且可以提供大表项的L2，L3功能和ACL策略。</t>
  </si>
  <si>
    <t>OS99-GNI-P48</t>
  </si>
  <si>
    <t>OS9900系列千兆电口网络接口卡，提供48个RJ-45 1000/100/10Base-T PoE接口，该款增强型板卡支持MACSEC，并且可以提供大表项的L2，L3功能和ACL策略。</t>
  </si>
  <si>
    <t>OS99-GNI-U48</t>
  </si>
  <si>
    <t>OS9900系列千兆接口卡，提供48个线速SFP端口，该款增强型板卡支持MACSEC，并且可以提供大表项的L2，L3功能和ACL策略。</t>
  </si>
  <si>
    <t>OS99-XNI-48</t>
  </si>
  <si>
    <t>OS9900系列万兆电口网络接口卡，提供48个1/10G电接口，该款增强型板卡支持MACSEC，并且可以提供大表项的L2，L3功能和ACL策略。</t>
  </si>
  <si>
    <t>OS99-XNI-P48Z16</t>
  </si>
  <si>
    <t>OS9900系列千兆多速率PoE网络接口卡，提供32个RJ-45 10G Base-T和16个RJ-45 1/2.5/5/10G Base-T线速端口，该款增强型板卡支持MACSEC，并且可以提供大表项的L2，L3功能和ACL策略。</t>
  </si>
  <si>
    <t>OS99-XNI-U48</t>
  </si>
  <si>
    <t>OS9900系列万兆光口网络接口卡，提供48个1/10G SFP+接口，该款增强型板卡支持MACSEC，并且可以提供大表项的L2，L3功能和ACL策略。</t>
  </si>
  <si>
    <t>OS9912-CFM</t>
  </si>
  <si>
    <t>OS9912-CFM交换矩阵模块，OS9912-CFM为OS9912机箱提供内部高性能矩阵交换功能。</t>
  </si>
  <si>
    <t>OS9907-CFM2</t>
  </si>
  <si>
    <t>OS9907机箱第二代专用交换矩阵模块，提供内部矩阵交换功能。</t>
  </si>
  <si>
    <t>OS99-CNI-U20</t>
  </si>
  <si>
    <t>OS9900系列100G接口卡，提供20个线速QSFP28端口的 40/100GE端口，该款增强型板卡支持MACSEC,支持MPLS，并且可以提供大表项的L2，L3功能和ACL策略。</t>
  </si>
  <si>
    <t>OS99-XNI-UP24Q2</t>
  </si>
  <si>
    <t>OS9900系列10G HPoE网络接口卡，提供12个SFP+ 1/10G 和12个10G-Base-T HPoE端口。提供2个40G QSFP+端口。 该款增强型板卡支持MACSEC，并且可以提供大表项的L2，L3和ACL策略</t>
  </si>
  <si>
    <t>OS99-XNI-U24</t>
  </si>
  <si>
    <t>OS9900系列万兆光口网络接口卡，提供24个1/10G SFP+接口，该款增强型卡支持MACSEC，并且可以提供大表项的L2、L3功能和ACL策略。</t>
  </si>
  <si>
    <t>OS99-XNI-P24Z8</t>
  </si>
  <si>
    <t xml:space="preserve">OS9900系列千兆多速率PoE网络接口卡，提供16个10G Base-T和8个 1/2.5/5/10G Base-T端口，该款增强型板卡支持MACSEC，并且可以提供大表项的L2，L3功能和ACL策略 </t>
  </si>
  <si>
    <t>OmniSwitch 9900 Power Supplies</t>
  </si>
  <si>
    <t>OS99-PS-A</t>
  </si>
  <si>
    <t>OS9900系列交流电源模块，提供3KW供电功率，自适应110VAC-240VAC，含国标电源线。</t>
  </si>
  <si>
    <t>OS99-PS-D</t>
  </si>
  <si>
    <t>OS9900系列直流电源模块，提供2.5KW供电功率.</t>
  </si>
  <si>
    <t>OmniSwitch 9900 Accessories</t>
  </si>
  <si>
    <t>OS9907-FAN-TRAY</t>
  </si>
  <si>
    <t>OS9907风扇套件。</t>
  </si>
  <si>
    <t>OS9912-FAN-TRAY</t>
  </si>
  <si>
    <t>OS9912风扇套件。</t>
  </si>
  <si>
    <t>OmniSwitch 9900 Software</t>
  </si>
  <si>
    <t>OS-SW-MACSEC</t>
  </si>
  <si>
    <t>启用MACsec功能的现场软件许可证书,适用OS6465, OS6560, OS6860, OS6865, OS6900, OS9900系列型号. 每个客户免费获得一个许可.</t>
  </si>
  <si>
    <t>NA</t>
  </si>
  <si>
    <t>OS9900 Partner Support</t>
  </si>
  <si>
    <t>PWM1-OS9907</t>
  </si>
  <si>
    <t>OS9907型号1个月合作伙伴软件支持服务，包含24*7接入技术支持服务，软件版本更新和升级及服务页面接入服务</t>
  </si>
  <si>
    <t>Q</t>
  </si>
  <si>
    <t>PW1N-OS9907</t>
  </si>
  <si>
    <t>OS9907型号1年合作伙伴软件支持服务，包含24*7接入技术支持服务，软件版本更新和升级及服务页面接入服务</t>
  </si>
  <si>
    <t>PW2N-OS9907</t>
  </si>
  <si>
    <t>OS9907型号2年合作伙伴软件支持服务，包含24*7接入技术支持服务，软件版本更新和升级及服务页面接入服务</t>
  </si>
  <si>
    <t>PW3N-OS9907</t>
  </si>
  <si>
    <t>OS9907型号3年合作伙伴软件支持服务，包含24*7接入技术支持服务，软件版本更新和升级及服务页面接入服务</t>
  </si>
  <si>
    <t>PW5N-OS9907</t>
  </si>
  <si>
    <t>OS9907型号5年合作伙伴软件支持服务，包含24*7接入技术支持服务，软件版本更新和升级及服务页面接入服务</t>
  </si>
  <si>
    <t>PW8N-OS9912</t>
  </si>
  <si>
    <t>OS9912型号8年合作伙伴长期软件支持服务，包含24*7接入技术支持服务，软件版本更新和升级及服务页面接入服务</t>
  </si>
  <si>
    <t>Per Quote</t>
  </si>
  <si>
    <t>PW10-OS9907</t>
  </si>
  <si>
    <t>OS9907型号10年合作伙伴长期软件支持服务，包含24*7接入技术支持服务，软件版本更新和升级及服务页面接入服务</t>
  </si>
  <si>
    <t>PWM1-OS9912</t>
  </si>
  <si>
    <t>OS9912型号1个月合作伙伴软件支持服务，包含24*7接入技术支持服务，软件版本更新和升级及服务页面接入服务</t>
  </si>
  <si>
    <t>PW1N-OS9912</t>
  </si>
  <si>
    <t>OS9912型号1年合作伙伴软件支持服务，包含24*7接入技术支持服务，软件版本更新和升级及服务页面接入服务</t>
  </si>
  <si>
    <t>PW2N-OS9912</t>
  </si>
  <si>
    <t>OS9912型号2年合作伙伴软件支持服务，包含24*7接入技术支持服务，软件版本更新和升级及服务页面接入服务</t>
  </si>
  <si>
    <t>PW3N-OS9912</t>
  </si>
  <si>
    <t>OS9912型号3年合作伙伴软件支持服务（新购），包含24*7接入技术支持服务，软件版本更新和升级及服务页面接入服务</t>
  </si>
  <si>
    <t>PW5N-OS9912</t>
  </si>
  <si>
    <t>OS9912型号5年合作伙伴软件支持服务（新购），包含24*7接入技术支持服务，软件版本更新和升级及服务页面接入服务</t>
  </si>
  <si>
    <t>PW8N-OS9907</t>
  </si>
  <si>
    <t>OS9907型号8年合作伙伴长期软件支持服务，包含24*7接入技术支持服务，软件版本更新和升级及服务页面接入服务</t>
  </si>
  <si>
    <t>PW10-OS9912</t>
  </si>
  <si>
    <t>OS9912型号10年合作伙伴长期软件支持服务，包含24*7接入技术支持服务，软件版本更新和升级及服务页面接入服务</t>
  </si>
  <si>
    <t>PPM1-OS9907</t>
  </si>
  <si>
    <t>OS9907型号1个月合作伙伴升级服务，包含24*7接入技术支持服务，软件版本更新和升级及服务页面接入服务，以及下一工作日硬件先行更换服务AVR。OS9900组合包，模块，电源及风扇包含在AVR中。</t>
  </si>
  <si>
    <t>PP1N-OS9907</t>
  </si>
  <si>
    <t>OS9907型号1年合作伙伴升级服务，包含24*7接入技术支持服务，软件版本更新和升级及服务页面接入服务，以及下一工作日硬件先行更换服务AVR。</t>
  </si>
  <si>
    <t>PP2N-OS9907</t>
  </si>
  <si>
    <t>OS9907型号2年合作伙伴升级服务，包含24*7接入技术支持服务，软件版本更新和升级及服务页面接入服务，以及下一工作日硬件先行更换服务AVR。</t>
  </si>
  <si>
    <t>PP3N-OS9907</t>
  </si>
  <si>
    <t>OS9907型号3年合作伙伴升级服务，包含24*7接入技术支持服务，软件版本更新和升级及服务页面接入服务，以及下一工作日硬件先行更换服务AVR。</t>
  </si>
  <si>
    <t>PP5N-OS9907</t>
  </si>
  <si>
    <t>OS9907型号5年合作伙伴升级服务，包含24*7接入技术支持服务，软件版本更新和升级及服务页面接入服务，以及下一工作日硬件先行更换服务AVR。</t>
  </si>
  <si>
    <t>PP8N-OS9907</t>
  </si>
  <si>
    <t>OS9907型号8年合作伙伴长期增强技术支持服务，包含24*7接入技术支持服务，软件版本更新和升级及服务页面接入服务，以及下一工作日硬件先行更换服务AVR。</t>
  </si>
  <si>
    <t>PP10-OS9907</t>
  </si>
  <si>
    <t>OS9907型号10年合作伙伴长期增强技术支持服务，包含24*7接入技术支持服务，软件版本更新和升级及服务页面接入服务，以及下一工作日硬件先行更换服务AVR。</t>
  </si>
  <si>
    <t>PPM1-OS9912</t>
  </si>
  <si>
    <t>OS9912型号1个月合作伙伴升级服务，包含24*7接入技术支持服务，软件版本更新和升级及服务页面接入服务，以及下一工作日硬件先行更换服务AVR。OS9900组合包，模块，电源及风扇包含在AVR中。</t>
  </si>
  <si>
    <t>PP1N-OS9912</t>
  </si>
  <si>
    <t>OS9912型号1年合作伙伴升级服务（新购），包含24*7接入技术支持服务，软件版本更新和升级及服务页面接入服务，以及下一工作日硬件先行更换服务AVR。OS9900组合包，模块，电源及风扇包含在AVR中。</t>
  </si>
  <si>
    <t>PP2N-OS9912</t>
  </si>
  <si>
    <t>OS9912型号2年合作伙伴升级服务，包含24*7接入技术支持服务，软件版本更新和升级及服务页面接入服务，以及下一工作日硬件先行更换服务AVR。</t>
  </si>
  <si>
    <t>PP3N-OS9912</t>
  </si>
  <si>
    <t>OS9912型号3年合作伙伴升级服务（新购），包含24*7接入技术支持服务，软件版本更新和升级及服务页面接入服务，以及下一工作日硬件先行更换服务AVR。OS9900组合包，模块，电源及风扇包含在AVR中。</t>
  </si>
  <si>
    <t>PP5N-OS9912</t>
  </si>
  <si>
    <t>OS9912型号5年合作伙伴升级服务（新购），包含24*7接入技术支持服务，软件版本更新和升级及服务页面接入服务，以及下一工作日硬件先行更换服务AVR。OS9900组合包，模块，电源及风扇包含在AVR中。</t>
  </si>
  <si>
    <t>PP8N-OS9912</t>
  </si>
  <si>
    <t>OS9912型号8年合作伙伴长期增强技术支持服务，包含24*7接入技术支持服务，软件版本更新和升级及服务页面接入服务，以及下一工作日硬件先行更换服务AVR。</t>
  </si>
  <si>
    <t>PP10-OS9912</t>
  </si>
  <si>
    <t>OS9912型号10年合作伙伴长期增强技术支持服务，包含24*7接入技术支持服务，软件版本更新和升级及服务页面接入服务，以及下一工作日硬件先行更换服务AVR。</t>
  </si>
  <si>
    <t>OmniSwitch 9500 Chassis</t>
  </si>
  <si>
    <t>OS9503-CHAS</t>
  </si>
  <si>
    <t>OS9503机箱，具有3个业务插槽，标配包含1个风扇盘，3个电源槽位，不含电源模块，管理引擎业务模块，通用业务模块。</t>
  </si>
  <si>
    <t>OmniSwitch 9500 Power Supplies</t>
  </si>
  <si>
    <t>OS9503-PS-A</t>
  </si>
  <si>
    <t>OS9503-PS-A OS9503 系列350W交流电源模块。</t>
  </si>
  <si>
    <t>OS9503-PS-D</t>
  </si>
  <si>
    <t>OS9503-PS-D OS9503 系列350W直流电源模块。</t>
  </si>
  <si>
    <t>OmniSwitch 9500 Modules</t>
  </si>
  <si>
    <t>管理引擎业务模块</t>
  </si>
  <si>
    <t>OS95-CMM-U24X8</t>
  </si>
  <si>
    <t>OS9503管理引擎业务模块，提供24个SFP端口和8个1/10G SFP+接口。</t>
  </si>
  <si>
    <t>OS95-CMM-24X8</t>
  </si>
  <si>
    <t xml:space="preserve"> OS9503管理引擎业务模块，提供24个RJ-45 10/100/1000M Base-T接口和8个1/10G SFP+接口。</t>
  </si>
  <si>
    <t>OS9506-CHAS</t>
  </si>
  <si>
    <t>OS9506机箱，具有6个业务插槽，标配包含1个风扇盘，3个电源槽位，不含电源模块、管理引擎模块、通用业务模块</t>
  </si>
  <si>
    <t>OS9506-PS-A</t>
  </si>
  <si>
    <t>OS9506-PS-A OS9506 系列500W交流电源模块。</t>
  </si>
  <si>
    <t>OS9506-PS-D</t>
  </si>
  <si>
    <t>OS9506-PS-D OS9506 系列500W直流电源模块。</t>
  </si>
  <si>
    <t>OS9506-CMM-I</t>
  </si>
  <si>
    <t>OS9506 管理引擎模块I型。</t>
  </si>
  <si>
    <t>OS9506-CMM-II</t>
  </si>
  <si>
    <t>OS9506 管理引擎模块II型。</t>
  </si>
  <si>
    <t>OS95-GNI-U24X8</t>
  </si>
  <si>
    <t>OS9503和OS9506系列千兆/万兆网络接口卡，提供24个SFP接口和8个1/10G SFP+接口。</t>
  </si>
  <si>
    <t>OS95-GNI-24X8</t>
  </si>
  <si>
    <t>OS9503和OS9506系列千兆/万兆网络接口卡，提供24个RJ-45 10/100/1000Base-T接口和8个1/10G SFP+接口。</t>
  </si>
  <si>
    <t>OS95-GNI-24U24</t>
  </si>
  <si>
    <t>OS9503和OS9506系列网络接口卡，提供24个RJ-45 10/100/1000Base-T接口和24个SFP接口</t>
  </si>
  <si>
    <t>OS95-GNI-48</t>
  </si>
  <si>
    <t>OS9503和OS9506系列网络接口卡，提供48个RJ-45 10/100/1000Base-T接口。</t>
  </si>
  <si>
    <t>OS95-GNI-U48</t>
  </si>
  <si>
    <t>OS9503和OS9506系列网络接口卡，提供48个SFP接口。</t>
  </si>
  <si>
    <t>OS95-XNI-U16</t>
  </si>
  <si>
    <t>OS9503和OS9506系列网络接口卡，提供16个1/10G SFP+接口。</t>
  </si>
  <si>
    <t>OS95-QNI-U4</t>
  </si>
  <si>
    <t>OS9503和OS9506 系列网络接口卡，提供4个40G QSFP+接口。</t>
  </si>
  <si>
    <t>OmniSwitch 9500 Accessories</t>
  </si>
  <si>
    <t>OS95-FanTray</t>
  </si>
  <si>
    <t>OS9503/OS9506风扇托盘，主机已包含，仅用于备件购买。</t>
  </si>
  <si>
    <t>OS95-ONI-U16</t>
  </si>
  <si>
    <t>16 GPON口板卡，含16个固定PON（不含OLT SFP光模块），4个千兆SFP口，4个千兆Combo口，4个万兆SFP+口</t>
  </si>
  <si>
    <t>OmniSwitch 9500 OLT SFP module</t>
  </si>
  <si>
    <t>GPON模块</t>
  </si>
  <si>
    <t>OS95-ON-GSFP-C</t>
  </si>
  <si>
    <t>OLT SFP模块，Class C+标准，下行2.5G/上行 1.25G，TX波长1490nm，RX波长1310nm，SC接口</t>
  </si>
  <si>
    <t>OmniSwitch 9500 Stick ONU module</t>
  </si>
  <si>
    <t>Stick ONU模块</t>
  </si>
  <si>
    <t>OS95-ONT-GST</t>
  </si>
  <si>
    <t>Stick ONU模块,1个GPON接口(SC/UPC),1个GE,SFP标准模块封装</t>
  </si>
  <si>
    <t>OmniSwitch 9500 ONU</t>
  </si>
  <si>
    <t>ONU</t>
  </si>
  <si>
    <t>OS95-ONT-8G8V</t>
  </si>
  <si>
    <t>多业务接入单元MDU，1个GPON接口(SC/UPC)，8个GE，8个POTS口，DC12/2A 外置适配器，铁壳。</t>
  </si>
  <si>
    <t>OS95-ONT-4P2V</t>
  </si>
  <si>
    <t>多业务接入单元MDU，1个GPON接口(SC/UPC，4GE +2POTS，4POE，支持PoE/PoE+POE 功率60w，外置适配器供电，铁壳，支持壁挂。</t>
  </si>
  <si>
    <t>OS-ONT-250XP</t>
  </si>
  <si>
    <t>多业务接入单元ONU，1个GPON接口(SC/UPC),兼容10GPON，4个GE，2个POTS口，1个10G电接口(RJ-45)，GE和10G端口支持PoE/PoE+POE， 功率60w，铁壳。</t>
  </si>
  <si>
    <t xml:space="preserve">OmniSwitch 9500 ONU </t>
  </si>
  <si>
    <t>OS-ONT-490X</t>
  </si>
  <si>
    <t>多业务接入单元ONU，1个GPON接口(SC/UPC),兼容10GPON，8个GE，4个POTS口，1个10G光接口（SFP+)，铁壳</t>
  </si>
  <si>
    <t>OS-ONT-490XP</t>
  </si>
  <si>
    <t>多业务接入单元ONU，1个GPON接口(SC/UPC),兼容10GPON，8个GE，4个POTS口，1个10G电接口(RJ-45)，GE和10G端口支持PoE/PoE+POE， 功率120w，铁壳</t>
  </si>
  <si>
    <t>OmniSwitch ONU SFP module</t>
  </si>
  <si>
    <t>OS-ONT-UPC-SFP</t>
  </si>
  <si>
    <t>GPON ONU 上行光纤模块，SFP接口</t>
  </si>
  <si>
    <t>OS-ONT-UPC-XGS</t>
  </si>
  <si>
    <t>XGSPON ONU 上行光纤模块，SFP+接口</t>
  </si>
  <si>
    <t>Splitter</t>
  </si>
  <si>
    <t>分光器</t>
  </si>
  <si>
    <t>OS-SPL-1U4P</t>
  </si>
  <si>
    <t>1*4分光器，盒式，5个SC/UPC头</t>
  </si>
  <si>
    <t>OS-SPL-1U8P</t>
  </si>
  <si>
    <t>1*8分光器，盒式，9个SC/UPC头</t>
  </si>
  <si>
    <t>OS-SPL-1U16P</t>
  </si>
  <si>
    <t>1*16分光器，盒式，17个SC/UPC头</t>
  </si>
  <si>
    <t>OS-SPL-2U8P</t>
  </si>
  <si>
    <t>2*8分光器，盒式，10个SC/UPC头</t>
  </si>
  <si>
    <t>OS-SPL-2U16P</t>
  </si>
  <si>
    <t>2*16分光器，盒式，18个SC/UPC头</t>
  </si>
  <si>
    <t>OS-SPL-1U8PR</t>
  </si>
  <si>
    <t>1*8分光器，机架式，9个SC/UPC头</t>
  </si>
  <si>
    <t>OS-SPL-1U16PR</t>
  </si>
  <si>
    <t>1*16分光器，机架式，17个SC/UPC头</t>
  </si>
  <si>
    <t>OS-SPL-1U32PR</t>
  </si>
  <si>
    <t>1*32分光器，机架式，33个SC/UPC头</t>
  </si>
  <si>
    <t>OS-SPL-2U8PR</t>
  </si>
  <si>
    <t>2*8分光器，机架式，10个SC/UPC头</t>
  </si>
  <si>
    <t>OS-SPL-2U16PR</t>
  </si>
  <si>
    <t>2*16分光器，机架式，18个SC/UPC头</t>
  </si>
  <si>
    <t>OS-SPL-2U32PR</t>
  </si>
  <si>
    <t>2*32分光器，机架式，34个SC/UPC头</t>
  </si>
  <si>
    <t>OmniSwitch 6920 Chassis</t>
  </si>
  <si>
    <t>OS6920-D32-F</t>
  </si>
  <si>
    <t xml:space="preserve">1RU机箱，提供 32 个 400G QSFP-DD 端口。端口可运行在 40/100/200/400G 速率，或通过拆分线缆设置为 4x10/25/100G、8x50G、2x200G。从前至后制冷。机箱包含双 AC 电源，电源线，上架套件。 </t>
  </si>
  <si>
    <t>G</t>
  </si>
  <si>
    <t>New</t>
  </si>
  <si>
    <t>受限产品，需联系ALE</t>
  </si>
  <si>
    <t>OS6920-D32-R</t>
  </si>
  <si>
    <t xml:space="preserve">1RU机箱，提供 32 个 400G QSFP-DD 端口。端口可运行在 40/100/200/400G 速率，或通过拆分线缆设置为 4x10/25/100G、8x50G、2x200G。从后至前制冷。机箱包含双 AC 电源，电源线，上架套件。 </t>
  </si>
  <si>
    <t>OS6920-D32D-F</t>
  </si>
  <si>
    <t>1RU机箱，提供 32 个 400G QSFP-DD 端口。端口可运行在 40/100/200/400G 速率，或通过拆分线缆设置为 4x10/25/100G、8x50G、2x200G。从前至后制冷。机箱包含双 DC 电源，电源线，上架套件。</t>
  </si>
  <si>
    <t>OS6920-D32D-R</t>
  </si>
  <si>
    <t>1RU机箱，提供 32 个 400G QSFP-DD 端口。端口可运行在 40/100/200/400G 速率，或通过拆分线缆设置为 4x10/25/100G、8x50G、2x200G。从后至前制冷。机箱包含双 DC 电源，电源线，上架套件。</t>
  </si>
  <si>
    <t>OmniSwitch 6920 Power Supplies</t>
  </si>
  <si>
    <t>OS6920-BP-FUK</t>
  </si>
  <si>
    <t>模块化的 1500W AC 备份电源。由前至后冷却。为 1 台 OS6920-D32 交换机提供系统电源，包括指定国家的电源线</t>
  </si>
  <si>
    <t>OS6920-BP-F</t>
  </si>
  <si>
    <t>模块化的 1500W AC 备份电源。由前至后冷却。为 1 台 OS6920-D32 交换机提供系统电源，包括指定国家的电源线。</t>
  </si>
  <si>
    <t>OS6920-BP-R</t>
  </si>
  <si>
    <t>模块化的 1500W AC 备份电源。由后至前冷却。为 1 台 OS6920-D32 交换机提供系统电源，包括指定国家的电源线。</t>
  </si>
  <si>
    <t>OS6920-BPD-F</t>
  </si>
  <si>
    <t>模块化的 1600W DC 备份电源。由前至后冷却。为 1 台 OS6920-D32 交换机提供系统电源。</t>
  </si>
  <si>
    <t>OS6920-BPD-R</t>
  </si>
  <si>
    <t>模块化的 1600W DC 备份电源。由后至前冷却。为 1 台 OS6920-D32 交换机提供系统电源。</t>
  </si>
  <si>
    <t>OmniSwitch 6920 Accessories</t>
  </si>
  <si>
    <t>OS6920-FTKIT-F</t>
  </si>
  <si>
    <t>OS6920D32 风扇模块，由前至后冷却，含6个风扇。</t>
  </si>
  <si>
    <t>OS6920-FTKIT-R</t>
  </si>
  <si>
    <t>OS6920D32 风扇模块，由后至前冷却，含6个风扇。</t>
  </si>
  <si>
    <t xml:space="preserve">OmniSwitch 6920 Partner Support </t>
  </si>
  <si>
    <t>PW1N-OS6920</t>
  </si>
  <si>
    <t>OS6920 系列1年合作伙伴软件支持服务（新购），包含24*7接入技术支持服务，软件版本更新和升级及服务页面接入服务</t>
  </si>
  <si>
    <t>PW1X-OS6920</t>
  </si>
  <si>
    <t>OS6920 系列1年合作伙伴扩展软件支持服务（新购），包含24*7接入技术支持服务，软件版本更新和升级及服务页面接入服务</t>
  </si>
  <si>
    <t>PW2N-OS6920</t>
  </si>
  <si>
    <t>OS6920 系列2年合作伙伴软件支持服务（新购），包含24*7接入技术支持服务，软件版本更新和升级及服务页面接入服务</t>
  </si>
  <si>
    <t>PW3N-OS6920</t>
  </si>
  <si>
    <t>OS6920 系列3年合作伙伴软件支持服务（新购），包含24*7接入技术支持服务，软件版本更新和升级及服务页面接入服务</t>
  </si>
  <si>
    <t>PW5N-OS6920</t>
  </si>
  <si>
    <t>OS6920 系列5年合作伙伴软件支持服务（新购），包含24*7接入技术支持服务，软件版本更新和升级及服务页面接入服务</t>
  </si>
  <si>
    <t>PP1N-OS6920</t>
  </si>
  <si>
    <t>OS6920系列1年合作伙伴升级服务（新购），包含24*7接入技术支持服务，软件版本更新和升级及服务页面接入服务，以及下一工作日硬件先行更换服务AVR。OS6920组合包，模块，电源及风扇包含在AVR中。</t>
  </si>
  <si>
    <t>PP2N-OS6920</t>
  </si>
  <si>
    <t>OS6920系列2年合作伙伴升级服务（新购），包含24*7接入技术支持服务，软件版本更新和升级及服务页面接入服务，以及下一工作日硬件先行更换服务AVR。OS6920组合包，模块，电源及风扇包含在AVR中。</t>
  </si>
  <si>
    <t>PP3N-OS6920</t>
  </si>
  <si>
    <t>OS6920系列3年合作伙伴升级服务（新购），包含24*7接入技术支持服务，软件版本更新和升级及服务页面接入服务，以及下一工作日硬件先行更换服务AVR。OS6920组合包，模块，电源及风扇包含在AVR中。</t>
  </si>
  <si>
    <t>PP5N-OS6920</t>
  </si>
  <si>
    <t>OS6920系列5年合作伙伴升级服务（新购），包含24*7接入技术支持服务，软件版本更新和升级及服务页面接入服务，以及下一工作日硬件先行更换服务AVR。OS6920组合包，模块，电源及风扇包含在AVR中。</t>
  </si>
  <si>
    <t>PW8N-OS6920</t>
  </si>
  <si>
    <t>OS6920系列8年合作伙伴长期软件支持服务，包含24*7接入技术支持服务，软件版本更新和升级及服务页面接入服务</t>
  </si>
  <si>
    <t>PW10-OS6920</t>
  </si>
  <si>
    <t>OS6920系列10年合作伙伴长期软件支持服务，包含24*7接入技术支持服务，软件版本更新和升级及服务页面接入服务</t>
  </si>
  <si>
    <t>PP8N-OS6920</t>
  </si>
  <si>
    <t>OS6920系列8年合作伙伴长期增强技术支持服务，包含24*7接入技术支持服务，软件版本更新和升级及服务页面接入服务，以及下一工作日硬件先行更换服务AVR。</t>
  </si>
  <si>
    <t>PP10-OS6920</t>
  </si>
  <si>
    <t>OS6920系列10年合作伙伴长期增强技术支持服务，包含24*7接入技术支持服务，软件版本更新和升级及服务页面接入服务，以及下一工作日硬件先行更换服务AVR。</t>
  </si>
  <si>
    <t>PWM1-OS6920</t>
  </si>
  <si>
    <t>OS6920系列1个月合作伙伴软件支持服务，包含24*7接入技术支持服务，软件版本更新和升级及服务页面接入服务</t>
  </si>
  <si>
    <t>PPM1-OS6920</t>
  </si>
  <si>
    <t>OS6920系列1个月合作伙伴升级服务，包含24*7接入技术支持服务，软件版本更新和升级及服务页面接入服务，以及下一工作日硬件先行更换服务AVR。OS6920组合包，模块，电源及风扇包含在AVR中。</t>
  </si>
  <si>
    <t>LINK TO CPLEN</t>
  </si>
  <si>
    <t>OmniSwitch 6900 Chassis</t>
  </si>
  <si>
    <t>OS6900-X24C2-F</t>
  </si>
  <si>
    <t xml:space="preserve">1RU 机箱，提供 24 个 10G SFP+端口，2 个 10G SFP+端口支持上行 链路或者 VFL 和 2 个 100G QSFP28 端口。其中 SFP+端口可设置为 1/10GE 模式。 QSFP28 端口可设置为 100GE/40GE/4x25GE/4x10GE 模式。从前至后制冷。机箱包含双 AC 电源，电源线，上架套件。 </t>
  </si>
  <si>
    <t>OS6900-X24C2-R</t>
  </si>
  <si>
    <t xml:space="preserve">1RU 机箱，提供 24 个 10G SFP+端口，2 个 10G SFP+端口支持上行 链路或者 VFL 和 2 个 100G QSFP28 端口。其中 SFP+端口可设置为 1/10GE 模式。 QSFP28 端口可设置为 100GE/40GE/4x25GE/4x10GE 模式。从后至前制冷。机箱包含双 AC 电源，电源线，上架套件。 </t>
  </si>
  <si>
    <t>OS6900-X24C2D-F</t>
  </si>
  <si>
    <t>1RU 机箱，提供 24 个 10G SFP+端口，2 个 10G SFP+端口支持上行 链路或者 VFL 和 2 个 100G QSFP28 端口。其中 SFP+端口可设置为 1/10GE 模式。 QSFP28 端口可设置为 100GE/40GE/4x25GE/4x10GE 模式。从前至后制冷。机箱包含双 DC 电源，电源线，上架套件。</t>
  </si>
  <si>
    <t>OS6900-X24C2D-R</t>
  </si>
  <si>
    <t>1RU 机箱，提供 24 个 10G SFP+端口，2 个 10G SFP+端口支持上行 链路或者 VFL 和 2 个 100G QSFP28 端口。其中 SFP+端口可设置为 1/10GE 模式。 QSFP28 端口可设置为 100GE/40GE/4x25GE/4x10GE 模式。从后至前制冷。机箱包含双 DC 电源，电源线，上架套件。</t>
  </si>
  <si>
    <t>OS6900-T24C2-F</t>
  </si>
  <si>
    <t>1RU 机箱，提供 24 个 10G BaseT 端口，2 个 10G SFP+端口支持上行 链路或者VFL端口和2个QSFP28端口。其中10G BaseT端口可设置为 1/10GE模式。 QSFP28 端口可设置为 100GE/40GE/4x25GE/4x10GE 模式。从前至后制冷。机箱包含双 AC 电源，电源线，上架套件。</t>
  </si>
  <si>
    <t>OS6900-T24C2-R</t>
  </si>
  <si>
    <t>1RU 机箱，提供 24 个 10G BaseT 端口，2 个 10G SFP+端口支持上行 链路或者VFL端口和2个QSFP28端口。其中10G BaseT端口可设置为 1/10GE模式。 QSFP28 端口可设置为 100GE/40GE/4x25GE/4x10GE 模式。从后至前制冷。机箱包含双 AC 电源，电源线，上架套件。</t>
  </si>
  <si>
    <t>OS6900-T24C2D-F</t>
  </si>
  <si>
    <t xml:space="preserve">1RU 机箱，提供 24 个 10G BaseT 端口，2 个 10G SFP+端口支持上行 链路或者VFL端口和2个QSFP28端口。其中10G BaseT端口可设置为 1/10GE模式。 QSFP28 端口可设置为 100GE/40GE/4x25GE/4x10GE 模式。从前至后制冷。机箱包含双 DC 电源，电源线，上架套件。 </t>
  </si>
  <si>
    <t>OS6900-T24C2D-R</t>
  </si>
  <si>
    <t xml:space="preserve">1RU 机箱，提供 24 个 10G BaseT 端口，2 个 10G SFP+端口支持上行 链路或者VFL端口和2个QSFP28端口。其中10G BaseT端口可设置为 1/10GE模式。 QSFP28 端口可设置为 100GE/40GE/4x25GE/4x10GE 模式。从后至前制冷。机箱包含双 DC 电源，电源线，上架套件。 </t>
  </si>
  <si>
    <t>OS6900-X48C6-F</t>
  </si>
  <si>
    <t>10G以太网3层交换机，提供48个10G SFP+端口和6个100G QSFP28端口，其中SFP+端口可设置为1/10GE模式，QSFP28端口可设置为100GE/40GE/4x25GE/4x10GE模式。从前至后制冷。机箱包含双AC电源，电源线，上架套件。</t>
  </si>
  <si>
    <t>OS6900-X48C6-R</t>
  </si>
  <si>
    <t>10G以太网3层交换机，提供48个10G SFP+端口和6个100G QSFP28端口，其中SFP+端口可设置为1/10GE模式，QSFP28端口可设置为100GE/40GE/4x25GE/4x10GE模式。从后至前制冷。机箱包含双AC电源，电源线，上架套件。</t>
  </si>
  <si>
    <t>OS6900-X48C6D-F</t>
  </si>
  <si>
    <t>10G以太网3层交换机，提供48个10G SFP+端口和6个100G QSFP28端口，其中SFP+端口可设置为1/10GE模式，QSFP28端口可设置为100GE/40GE/4x25GE/4x10GE模式。从前至后制冷。机箱包含双DC电源，上架套件。</t>
  </si>
  <si>
    <t>OS6900-X48C6D-R</t>
  </si>
  <si>
    <t>10G以太网3层交换机，提供48个10G SFP+端口和6个100G QSFP28端口，其中SFP+端口可设置为1/10GE模式，QSFP28端口可设置为100GE/40GE/4x25GE/4x10GE模式。从后至前制冷。机箱包含双DC电源，上架套件。</t>
  </si>
  <si>
    <t>OS6900-X48C4E-F</t>
  </si>
  <si>
    <t>10G以太网3层交换机，提供40个10G SFP+端口，8个25G SFP28端口和4个100G QSFP28端口，其中SFP+端口可设置为1/10GE模式，SFP28端口可设置为1/10/25GE模式,QSFP28端口可设置为100GE/40GE/4x25GE/4x10GE模式。所有端口支持MACsec，从前至后制冷。机箱包含双AC电源，电源线，上架套件。</t>
  </si>
  <si>
    <t>OS6900-X48C4E-R</t>
  </si>
  <si>
    <t>10G以太网3层交换机，提供40个10G SFP+端口，8个25G SFP28端口和4个100G QSFP28端口，其中SFP+端口可设置为1/10GE模式，SFP28端口可设置为1/10/25GE模式,QSFP28端口可设置为100GE/40GE/4x25GE/4x10GE模式。所有端口支持MACsec，从后至前制冷。机箱包含双AC电源，电源线，上架套件。</t>
  </si>
  <si>
    <t>OS6900-X48C4ED-F</t>
  </si>
  <si>
    <t>10G以太网3层交换机，提供40个10G SFP+端口，8个25G SFP28端口和4个100G QSFP28端口，其中SFP+端口可设置为1/10GE模式，SFP28端口可设置为1/10/25GE模式,QSFP28端口可设置为100GE/40GE/4x25GE/4x10GE模式。所有端口支持MACsec，从前至后制冷。机箱包含双DC电源，电源线，上架套件。</t>
  </si>
  <si>
    <t>OS6900-X48C4ED-R</t>
  </si>
  <si>
    <t>OS6900-T48C6-F</t>
  </si>
  <si>
    <t>10G以太网3层交换机，提供48个10G-BaseT 端口和6个100G QSFP28端口，其中10GT端口可设置为1/10G模式，QSFP28端口可设置为100GE/40GE/4x25GE/4x10GE模式。从前至后制冷。机箱包含双AC电源，电源线，上架套件。</t>
  </si>
  <si>
    <t>OS6900-T48C6-R</t>
  </si>
  <si>
    <t>10G以太网3层交换机，提供48个10G-BaseT 端口和6个100G QSFP28端口，其中10GT端口可设置为1/10G模式，QSFP28端口可设置为100GE/40GE/4x25GE/4x10GE模式。从后至前制冷。机箱包含双AC电源，电源线，上架套件。</t>
  </si>
  <si>
    <t>OS6900-T48C6D-F</t>
  </si>
  <si>
    <t>10G以太网3层交换机，提供48个10G-BaseT 端口和6个100G QSFP28端口，其中10GT端口可设置为1/10G模式，QSFP28端口可设置为100GE/40GE/4x25GE/4x10GE模式。从前至后制冷。机箱包含双DC电源，上架套件。</t>
  </si>
  <si>
    <t>OS6900-T48C6D-R</t>
  </si>
  <si>
    <t>10G以太网3层交换机，提供48个10G-BaseT 端口和6个100G QSFP28端口，其中10GT端口可设置为1/10G模式，QSFP28端口可设置为100GE/40GE/4x25GE/4x10GE模式。从后至前制冷。机箱包含双DC电源，上架套件。</t>
  </si>
  <si>
    <t>OS6900-V48C8-F</t>
  </si>
  <si>
    <t>25GE以太网三层交换机，提供48个25G SFP28端口和8x100G QSFP28端口。其中25G SFP28端口的可设置为1/10/25GE，QSFP28端口可设置为100GE/40GE/4x25GE/4x10GE。从前至后制冷。机箱包含双AC电源，电源线，上架套件。</t>
  </si>
  <si>
    <t>OS6900-V48C8-R</t>
  </si>
  <si>
    <t>25GE以太网三层交换机，提供48个25G SFP28端口和8x100G QSFP28端口。其中25G SFP28端口的可设置为1/10/25GE，QSFP28端口可设置为100GE/40GE/4x25GE/4x10GE。从后至前制冷。机箱包含双AC电源，电源线，上架套件。</t>
  </si>
  <si>
    <t>OS6900-V48C8D-F</t>
  </si>
  <si>
    <t>25GE以太网三层交换机，提供48个25G SFP28端口和8x100G QSFP28端口。其中25G SFP28端口的可设置为1/10/25GE，QSFP28端口可设置为100GE/40GE/4x25GE/4x10GE。从前至后制冷。机箱包含双DC电源，电源线，上架套件。</t>
  </si>
  <si>
    <t>OS6900-V48C8D-R</t>
  </si>
  <si>
    <t>25GE以太网三层交换机，提供48个25G SFP28端口和8x100G QSFP28端口。其中25G SFP28端口的可设置为1/10/25GE，QSFP28端口可设置为100GE/40GE/4x25GE/4x10GE。从后至前制冷。机箱包含双DC电源，电源线，上架套件。</t>
  </si>
  <si>
    <t>OS6900-C32E-F</t>
  </si>
  <si>
    <t>100G以太网3层交换机, 提供32个100G QSFP28端口。QSFP28可设置为100G或40G或4x25G或4x10G端口。 从前至后制冷，包含双AC电源和电源线。随机附上架套件。</t>
  </si>
  <si>
    <t>OS6900-C32E-R</t>
  </si>
  <si>
    <t>100G以太网3层交换机, 提供32个100G QSFP28端口。QSFP28可设置为100G或40G或4x25G或4x10G端口。 从后至前制冷，包含双AC电源和电源线。随机附上架套件。</t>
  </si>
  <si>
    <t>OS6900-C32ED-F</t>
  </si>
  <si>
    <t>100G以太网3层交换机, 提供32个100G QSFP28端口。QSFP28可设置为100G或40G或4x25G或4x10G端口。 从前至后制冷，包含双DC电源。随机附上架套件。</t>
  </si>
  <si>
    <t>OS6900-C32ED-R</t>
  </si>
  <si>
    <t>100G以太网3层交换机, 提供32个100G QSFP28端口。QSFP28可设置为100G或40G或4x25G或4x10G端口。 从后至前制冷，包含双DC电源。随机附上架套件。</t>
  </si>
  <si>
    <t>OS6900 Power Supplies</t>
  </si>
  <si>
    <t>OS6900C-BP-F</t>
  </si>
  <si>
    <t>模块化的650W AC备份电源。由前至后冷却。为1台OS6900-V72，C32, X48C4E或V48C8交换机提供系统电源,包括指定国家的电源线。</t>
  </si>
  <si>
    <t>OS6900C-BP-R</t>
  </si>
  <si>
    <t>模块化的650W AC备份电源。由后至前冷却。为1台OS6900-V72，C32, X48C4E或V48C8交换机提供系统电源,包括指定国家的电源线。</t>
  </si>
  <si>
    <t>OS6900C-BPD-F</t>
  </si>
  <si>
    <t>模块化的650W DC备份电源。由前至后冷却。为1台OS6900-V72，C32, X48C4E或V48C8交换机提供系统电源。</t>
  </si>
  <si>
    <t>OS6900C-BPD-R</t>
  </si>
  <si>
    <t>模块化的650W DC备份电源。由后至前冷却。为1台OS6900-V72，C32, X48C4E或V48C8交换机提供系统电源。</t>
  </si>
  <si>
    <t>OS6900X-BP-F</t>
  </si>
  <si>
    <t>模块化的400W AC备份电源。由前至后冷却。为1台OS6900-X48C6/T48C6 或 OS6900-X24C2/T24C2交换机提供系统电源,包括指定国家的电源线。</t>
  </si>
  <si>
    <t>OS6900X-BP-R</t>
  </si>
  <si>
    <t xml:space="preserve">模块化的400W AC备份电源。由后至前冷却。为1台 OS6900-X48C6/T48C6 或 OS6900-X24C2/T24C2 交换机提供系统电源,包括指定国家的电源线。 </t>
  </si>
  <si>
    <t>OS6900X-BPD-F</t>
  </si>
  <si>
    <t xml:space="preserve">模块化的400W DC备份电源。由前至后冷却。为1台 OS6900-X48C6/T48C6 或 OS6900-X24C2/T24C2 交换机提供系统电源。  </t>
  </si>
  <si>
    <t>OS6900X-BPD-R</t>
  </si>
  <si>
    <t xml:space="preserve">模块化的400W DC备份电源。由后至前冷却。为1台 OS6900-X48C6/T48C6 或 OS6900-X24C2/T24C2 交换机提供系统电源。  </t>
  </si>
  <si>
    <t>OmniSwitch 6900 Software</t>
  </si>
  <si>
    <t>OS6900-MPLS-1</t>
  </si>
  <si>
    <t>在 OS6900 交换机的1个节点上启用 MPLS 软件许可证。节点可以是独立交换机或虚拟机箱。所有节点必须位于同一站点</t>
  </si>
  <si>
    <t>OS6900-MPLS-4</t>
  </si>
  <si>
    <t>在 OS6900 交换机的4个节点上启用 MPLS 软件许可证。节点可以是独立交换机或虚拟机箱。所有节点必须位于同一站点</t>
  </si>
  <si>
    <t>OS6900-SW-AR</t>
  </si>
  <si>
    <t>高级软件许可证。支持BGP、OSPFv2、PIM单播/多播、DVMRP、IPv6路由、OSPFv3、RIPng、VRRPv3、SPB、虚拟机箱VC，以及（如支持）VXLAN VTEP。每个机箱需配备一份许可证。自8.3.1.R02版本起，基础系统已包含该许可证。</t>
  </si>
  <si>
    <t>OmniSwitch 6900 Accessories</t>
  </si>
  <si>
    <t>OS6900V-FTKIT-F</t>
  </si>
  <si>
    <t>OS6900V48风扇模块，由前至后冷却，含6个风扇。</t>
  </si>
  <si>
    <t>OS6900V-FTKIT-R</t>
  </si>
  <si>
    <t>OS6900V48风扇模块，由后至前冷却，含6个风扇。</t>
  </si>
  <si>
    <t>OS6900X-FTKIT-F</t>
  </si>
  <si>
    <t>OS6900X风扇模块，为OS6900-X48C6/T48C6 or OS6900X24/T24用，由前至后冷却，含5个风扇。</t>
  </si>
  <si>
    <t>OS6900X-FTKIT-R</t>
  </si>
  <si>
    <t>OS6900X风扇模块，为OS6900-X48C6/T48C6 or OS6900X24/T24用，由后至前冷却，含5个风扇。</t>
  </si>
  <si>
    <t>OS6900 Accessories</t>
  </si>
  <si>
    <t>OS6900C-FTKIT-F</t>
  </si>
  <si>
    <t>OS6900C风扇模块，为OS6900-V72/C32/C32E/X48E用，由前至后冷却，含6个风扇。</t>
  </si>
  <si>
    <t>OS6900C-FTKIT-R</t>
  </si>
  <si>
    <t xml:space="preserve">OS6900C风扇模块，为OS6900-V72/C32/C32E/X48E用，由后至前冷却，含6个风扇。  </t>
  </si>
  <si>
    <t>安装支架</t>
  </si>
  <si>
    <t>OS6900X-MNT</t>
  </si>
  <si>
    <t>2个前置和后置机架支架 OS6900-V48/V72/C32/C32E/X24/X48/X48E/T24/T48</t>
  </si>
  <si>
    <t>OS6900 DNV Certified</t>
  </si>
  <si>
    <t>OS-DNV-DC-PWR</t>
  </si>
  <si>
    <t>OmniSwitch 6900-X48C6 所需的直流电源电缆，适用于 DNV/IEC 60945 安装。每个直流电源需要一根电源电缆。</t>
  </si>
  <si>
    <t>A</t>
  </si>
  <si>
    <t>OS-DNV-ENH-FLTR</t>
  </si>
  <si>
    <t>增强型 OmniSwitch 内置 EMC 电源滤波器适用于 DNV 或 IEC60495 安装（适用于 OS6900-X48C6 型号），每个电源需要一个滤波器。</t>
  </si>
  <si>
    <t>F</t>
  </si>
  <si>
    <t>OS6900 Partner Support</t>
  </si>
  <si>
    <t>PWM1-OS6900</t>
  </si>
  <si>
    <t>OS6900系列1个月合作伙伴软件支持服务，包含24*7接入技术支持服务，软件版本更新和升级及服务页面接入服务</t>
  </si>
  <si>
    <t>PW1N-OS6900</t>
  </si>
  <si>
    <t>OS6900系列1年合作伙伴软件支持服务（新购），包含24*7接入技术支持服务，软件版本更新和升级及服务页面接入服务</t>
  </si>
  <si>
    <t>PW2N-OS6900</t>
  </si>
  <si>
    <t>OS6900系列2年合作伙伴软件支持服务（新购），包含24*7接入技术支持服务，软件版本更新和升级及服务页面接入服务</t>
  </si>
  <si>
    <t>PW3N-OS6900</t>
  </si>
  <si>
    <t>OS6900系列3年合作伙伴软件支持服务（新购），包含24*7接入技术支持服务，软件版本更新和升级及服务页面接入服务</t>
  </si>
  <si>
    <t>PW5N-OS6900</t>
  </si>
  <si>
    <t>OS6900系列5年合作伙伴软件支持服务（新购），包含24*7接入技术支持服务，软件版本更新和升级及服务页面接入服务</t>
  </si>
  <si>
    <t>PW8N-OS6900</t>
  </si>
  <si>
    <t>OS6900型号8年合作伙伴长期软件支持服务，包含24*7接入技术支持服务，软件版本更新和升级及服务页面接入服务</t>
  </si>
  <si>
    <t>PW10-OS6900</t>
  </si>
  <si>
    <t>OS6900型号10年合作伙伴长期软件支持服务，包含24*7接入技术支持服务，软件版本更新和升级及服务页面接入服务</t>
  </si>
  <si>
    <t>PPM1-OS6900</t>
  </si>
  <si>
    <t>OS6900系列1个月合作伙伴升级服务，包含24*7接入技术支持服务，软件版本更新和升级及服务页面接入服务，以及下一工作日硬件先行更换服务AVR。OS6900组合包，模块，电源及风扇包含在AVR中。</t>
  </si>
  <si>
    <t>PP1N-OS6900</t>
  </si>
  <si>
    <t>OS6900系列1年合作伙伴升级服务（新购），包含24*7接入技术支持服务，软件版本更新和升级及服务页面接入服务，以及下一工作日硬件先行更换服务AVR。OS6900组合包，模块，电源及风扇包含在AVR中。</t>
  </si>
  <si>
    <t>PP2N-OS6900</t>
  </si>
  <si>
    <t>OS6900系列2年合作伙伴升级服务，包含24*7接入技术支持服务，软件版本更新和升级及服务页面接入服务，以及下一工作日硬件先行更换服务AVR。OS6900组合包，模块，电源及风扇包含在AVR中。</t>
  </si>
  <si>
    <t>PP3N-OS6900</t>
  </si>
  <si>
    <t>OS6900系列3年合作伙伴升级服务（新购），包含24*7接入技术支持服务，软件版本更新和升级及服务页面接入服务，以及下一工作日硬件先行更换服务AVR。OS6900组合包，模块，电源及风扇包含在AVR中。</t>
  </si>
  <si>
    <t>PP5N-OS6900</t>
  </si>
  <si>
    <t>OS6900系列5年合作伙伴升级服务（新购），包含24*7接入技术支持服务，软件版本更新和升级及服务页面接入服务，以及下一工作日硬件先行更换服务AVR。OS6900组合包，模块，电源及风扇包含在AVR中。</t>
  </si>
  <si>
    <t>PP8N-OS6900</t>
  </si>
  <si>
    <t>OS6900型号8年合作伙伴长期增强技术支持服务，包含24*7接入技术支持服务，软件版本更新和升级及服务页面接入服务，以及下一工作日硬件先行更换服务AVR。</t>
  </si>
  <si>
    <t>PP10-OS6900</t>
  </si>
  <si>
    <t>OS6900型号10年合作伙伴长期增强技术支持服务，包含24*7接入技术支持服务，软件版本更新和升级及服务页面接入服务，以及下一工作日硬件先行更换服务AVR。</t>
  </si>
  <si>
    <t>OmniSwitch 6870 Chassis</t>
  </si>
  <si>
    <t>OS6870-24</t>
  </si>
  <si>
    <t>千兆以太网 L3 固定配置机箱，1U 规格，具有 24 个 RJ-45 10/100/1000 Base-T 端口、2 个 40/100G QSFP28 VFL/堆叠端口、4 个 SFP28（1G/10G/25G）端口、USB、RJ45 控制台端口和 EMP。所有 RJ-45 和 SFP28 端口均支持 256 位 MACsec。组合产品包括一个 250W AC 电源、国家/地区专用电源线、用于安装在 19 英寸机架上的硬件和一个 RJ45 至 DB9 控制台适配器。</t>
  </si>
  <si>
    <t>OS6870-24D</t>
  </si>
  <si>
    <t>千兆以太网 L3 固定配置机箱，1U 规格，具有 24 个 RJ-45 10/100/1000 Base-T 端口、2 个 40/100G QSFP28 VFL/堆叠端口、4 个 SFP28（1G/10G/25G）端口、USB、RJ45 控制台端口和 EMP。所有 RJ-45 和 SFP28 端口均支持 256 位 MACsec。组合产品包括一个 250W DC 电源、国家/地区专用电源线、用于安装在 19 英寸机架上的硬件和一个 RJ45 至 DB9 控制台适配器。</t>
  </si>
  <si>
    <t>OS6870-48</t>
  </si>
  <si>
    <t>千兆以太网 L3 固定配置机箱，1U 规格，具有 48 个 RJ-45 10/100/1000 Base-T 端口、2 个 40/100G QSFP28 VFL/堆叠端口、4 个 SFP28（1G/10G/25G）端口、USB、RJ45 控制台端口和 EMP。所有 RJ-45 和 SFP28 端口均支持 256 位 MACsec。组合产品包括一个 250W AC 电源、国家/地区专用电源线、用于安装在 19 英寸机架上的硬件和一个 RJ45 至 DB9 控制台适配器。</t>
  </si>
  <si>
    <t>OS6870-48D</t>
  </si>
  <si>
    <t>千兆以太网 L3 固定配置机箱，1U 规格，具有 48 个 RJ-45 10/100/1000 Base-T 端口、2 个 40/100G QSFP28 VFL/堆叠端口、4 个 SFP28（1G/10G/25G）端口、USB、RJ45 控制台端口和 EMP。所有 RJ-45 和 SFP28 端口均支持 256 位 MACsec。组合产品包括一个 250W DC 电源、国家/地区专用电源线、用于安装在 19 英寸机架上的硬件和一个 RJ45 至 DB9 控制台适配器。</t>
  </si>
  <si>
    <t>OS6870-V12</t>
  </si>
  <si>
    <t>多速率以太网L3固定配置机箱，1U 规格，具有 12 个 1G/10G/25G SFP28 端口、2 个 100/200G QSFP56 VFL/堆叠端口和 1 个上行链路模块扩展插槽。组合产品包括一个系统 550W AC电源、针对特定国家的电源线、用于安装在 19 英寸机架上的硬件和一个 RJ45 至 DB9 控制台适配器。上行链路模块需单独订购。</t>
  </si>
  <si>
    <t>OS6870-V12D</t>
  </si>
  <si>
    <t>多速率以太网L3固定配置机箱，1U 规格，具有 12 个 1G/10G/25G SFP28 端口、2 个 100/200G QSFP56 VFL/堆叠端口和 1 个上行链路模块扩展插槽。组合产品包括一个系统 250W DC PS电源、针对特定国家的电源线、用于安装在 19 英寸机架上的硬件和一个 RJ45 至 DB9 控制台适配器。上行链路模块需单独订购。</t>
  </si>
  <si>
    <t>OS6870PXL48M</t>
  </si>
  <si>
    <t>多速率以太网L3固定配置机箱，1U 规格，具有48个 100M/1G/2.5G/5G多速率 95W bt PoE 端口、2 个 100G/200G QSFP56 VFL/堆叠端口和 1 个上行链路模块扩展插槽。所有端口均支持 256 位 MACsec。组合产品包括一个 2000W AC电源、针对特定国家的电源线、用于安装在 19 英寸机架上的硬件和一个 RJ45 至 DB9 控制台适配器。</t>
  </si>
  <si>
    <t>仅用于海外项目</t>
  </si>
  <si>
    <t>OS6870PX48M</t>
  </si>
  <si>
    <t>多速率以太网L3固定配置机箱，1U 规格，具有48个 100M/1G/2.5G/5G多速率 95W bt PoE 端口、2 个 100G/200G QSFP56 VFL/堆叠端口和 1 个上行链路模块扩展插槽。所有端口均支持 256 位 MACsec。组合产品包括一个 1200W AC电源、针对特定国家的电源线、用于安装在 19 英寸机架上的硬件和一个 RJ45 至 DB9 控制台适配器。</t>
  </si>
  <si>
    <t>OS6870PH48M</t>
  </si>
  <si>
    <t>多速率以太网L3固定配置机箱，1U 规格，具有48个 100M/1G/2.5G/5G多速率 95W bt PoE 端口、2 个 100G/200G QSFP56 VFL/堆叠端口和 1 个上行链路模块扩展插槽。所有端口均支持 256 位 MACsec。组合产品包括一个 600W AC电源、针对特定国家的电源线、用于安装在 19 英寸机架上的硬件和一个 RJ45 至 DB9 控制台适配器。</t>
  </si>
  <si>
    <t>OS6870PXL24M</t>
  </si>
  <si>
    <t>多速率以太网L3固定配置机箱，1U 规格，具有24个 100M/1G/2.5G/5G/10G 多速率 95W bt PoE 端口、2 个 100G/200G QSFP56 VFL/堆叠端口和 1 个上行链路模块扩展插槽。所有端口均支持 256 位 MACsec。组合产品包括一个 2000W AC电源、针对特定国家的电源线、用于安装在 19 英寸机架上的硬件和一个 RJ45 至 DB9 控制台适配器。</t>
  </si>
  <si>
    <t>OS6870PX24M</t>
  </si>
  <si>
    <t>多速率以太网L3固定配置机箱，1U规格，具有24个 100M/1G/2.5G/5G/10G 多速率 95W bt PoE 端口、2 个 100G/200G QSFP56 VFL/堆叠端口和 1 个上行链路模块扩展插槽。所有端口均支持 256 位 MACsec。组合产品包括一个 1200W AC电源、针对特定国家的电源线、用于安装在 19 英寸机架上的硬件和一个 RJ45 至 DB9 控制台适配器。</t>
  </si>
  <si>
    <t>OS6870PH24M</t>
  </si>
  <si>
    <t>多速率以太网L3固定配置机箱，1U 规格，具有24个 100M/1G/2.5G/5G/10G 多速率 95W bt PoE 端口、2 个 100G/200G QSFP56 VFL/堆叠端口和 1 个上行链路模块扩展插槽。所有端口均支持 256 位 MACsec。组合产品包括一个 600W AC电源、针对特定国家的电源线、用于安装在 19 英寸机架上的硬件和一个 RJ45 至 DB9 控制台适配器。</t>
  </si>
  <si>
    <t>OS6870PX48Z</t>
  </si>
  <si>
    <t>多速率以太网L3固定配置机箱，1U 规格，具有 48 个 100M/1G/2.5G 多速率 60W bt PoE 端口、2 个 40/100G QSFP28 VFL/堆叠端口和 6 个 1G/10G/25G SFP28 端口。所有端口均支持 256 位 MACsec。组合产品包括一个 1200W AC电源、国家/地区专用电源线、用于安装在 19 英寸机架上的硬件和一个 RJ45 至 DB9 控制台适配器。</t>
  </si>
  <si>
    <t>OS6870PH48Z</t>
  </si>
  <si>
    <t>多速率以太网L3固定配置机箱，1U规格，具有 48 个 100M/1G/2.5G 多速率 60W bt PoE 端口、2 个 40/100G QSFP28 VFL/堆叠端口和 6 个 1G/10G/25G SFP28 端口。所有端口均支持 256 位 MACsec。组合产品包括一个 600W 交流电源、国家/地区专用电源线、用于安装在 19 英寸机架上的硬件和一个 RJ45 至 DB9 控制台适配器。</t>
  </si>
  <si>
    <t>OS6870PX24Z</t>
  </si>
  <si>
    <t>多速率以太网L3固定配置机箱，1U规格，具有 24 个 100M/1G/2.5G 多速率 60W bt PoE 端口、2 个 40/100G QSFP28 VFL/堆叠端口和 6 个 1G/10G/25G SFP28 端口。所有端口均支持 256 位 MACsec。组合产品包括一个 1200W AC电源、国家/地区专用电源线、用于安装在 19 英寸机架上的硬件和一个 RJ45 至 DB9 控制台适配器。</t>
  </si>
  <si>
    <t>OS6870PH24Z</t>
  </si>
  <si>
    <t>多速率以太网L3固定配置机箱，1U 规格，具有 24 个 100M/1G/2.5G 多速率 60W bt PoE 端口、2 个 40/100G QSFP28 VFL/堆叠端口和 6 个 1G/10G/25G SFP28 端口。所有端口均支持 256 位 MACsec。组合产品包括一个 600W AC电源、国家/地区专用电源线、用于安装在 19 英寸机架上的硬件和一个 RJ45 至 DB9 控制台适配器。</t>
  </si>
  <si>
    <t>OmniSwitch 6870 Power Supplies</t>
  </si>
  <si>
    <t>OS6870-BPPH</t>
  </si>
  <si>
    <t>OS6870-BPPH 模块化 600W AC PoE 电源。为一台 OS6870 PoE 交换机供电。包括特定国家的电源线。与 OS6860E 或 OS6860N 不兼容。</t>
  </si>
  <si>
    <t>OS6870-BPPX</t>
  </si>
  <si>
    <t>OS6870-BPPX 模块化 1200W AC PoE 电源。为一台 OS6870 PoE 交换机供电。包括特定国家的电源线。与 OS6860E 或 OS6860N 不兼容。</t>
  </si>
  <si>
    <t>OS6870-BP</t>
  </si>
  <si>
    <t>OS6870-BP 模块化 250W AC 电源。为一台非 PoE OS6870 交换机供电。包括特定国家的电源线。与 OS6860E 或 OS6860N 不兼容。</t>
  </si>
  <si>
    <t>OS6870-BP-D</t>
  </si>
  <si>
    <t>OS6870-BP-D 模块化 250W 直流电源。为一台非 PoE OS6870 或 OS6870-V12 交换机供电。</t>
  </si>
  <si>
    <t>OS6870-BPH</t>
  </si>
  <si>
    <t>OS6870-BPH 模块化 550W AC 电源。为一台 OS6870-V12 交换机供电。包括特定国家的电源线。与 OS6860E 或 OS6860N 不兼容。</t>
  </si>
  <si>
    <t>OS6870-BPXL</t>
  </si>
  <si>
    <t>OS6870-BPXL 模块化 2000W AC PoE 电源。为一台 OS6870- P24M 或 OS6870-P48M 交换机供电。包括特定国家的电源线。与 OS6860E 或 OS6860N 不兼容。</t>
  </si>
  <si>
    <t>OmniSwitch 6870 Accessories</t>
  </si>
  <si>
    <t>OS6870-LNI-U6</t>
  </si>
  <si>
    <t>用于 OS6870-P24M / OS6870-P48M / OS6870-V12 交换机的上行链路模块，具有6个 10G/25G/50G SFP56 端口。所有端口均支持 256 位 MACsec。请单独购买 OS6870-SW-PERF 许可，以启用 50G。</t>
  </si>
  <si>
    <t>OS6870-CNI-U2</t>
  </si>
  <si>
    <t>用于 OS6870-P24M / OS6870-P48M / OS6870-V12 交换机的上行链路模块，配有 2 个 40G/100G QSFP28 端口。所有端口均支持 256 位 MACsec。</t>
  </si>
  <si>
    <t>OS6870-SW-PERF</t>
  </si>
  <si>
    <t>允许 OS6870-LNI-U6 端口以 50G 速率运行的高性能软件许可。</t>
  </si>
  <si>
    <t>OS6-REAR-MNT2</t>
  </si>
  <si>
    <t>19 寸机架安装支架， 用于 OS6870、OS6860N 和 OS6850E 。</t>
  </si>
  <si>
    <t>在 OS6465、OS6560、OS6860、OS6865、OS6870、OS6900、OS9900 型号上启用 MACsec 的许可证。每个客户可免费获得一个许可证</t>
  </si>
  <si>
    <t>OS6870-SW-PRM1</t>
  </si>
  <si>
    <t>OS6870-P24M、P48M 和 V12 的高级软件许可证；可在 OS6870-LNI-U6（OS6870-SW-PERF）上启用 VxLAN EVPN 和 50G 功能。每个节点需单独许可证。激活需安装8.10R4及以上版本软件。</t>
  </si>
  <si>
    <t>OS6870-SW-PRM2</t>
  </si>
  <si>
    <t>OS6870-24、48、P24Z和P48Z的高级软件许可证；支持VxLAN EVPN功能。每个节点需配备一份许可证。激活需安装8.10R4及以上版本软件。</t>
  </si>
  <si>
    <t>OmniSwitch 6870 Partner Support Subscription</t>
  </si>
  <si>
    <t>PWM1-OS6870</t>
  </si>
  <si>
    <t>OS6870系列1个月合作伙伴软件支持服务，包含24*7接入技术支持服务，软件版本更新和升级及服务页面接入服务</t>
  </si>
  <si>
    <t xml:space="preserve">OmniSwitch 6870 Partner Support </t>
  </si>
  <si>
    <t>PW1N-OS6870</t>
  </si>
  <si>
    <t>OS6870系列1年合作伙伴软件支持服务（新购），包含24*7接入技术支持服务，软件版本更新和升级及服务页面接入服务</t>
  </si>
  <si>
    <t>PW2N-OS6870</t>
  </si>
  <si>
    <t>OS6870系列2年合作伙伴软件支持服务（新购），包含24*7接入技术支持服务，软件版本更新和升级及服务页面接入服务</t>
  </si>
  <si>
    <t>PW3N-OS6870</t>
  </si>
  <si>
    <t>OS6870系列3年合作伙伴软件支持服务（新购），包含24*7接入技术支持服务，软件版本更新和升级及服务页面接入服务</t>
  </si>
  <si>
    <t>PW5N-OS6870</t>
  </si>
  <si>
    <t>OS6870系列5年合作伙伴软件支持服务（新购），包含24*7接入技术支持服务，软件版本更新和升级及服务页面接入服务</t>
  </si>
  <si>
    <t>PW8N-OS6870</t>
  </si>
  <si>
    <t>OS6870型号8年合作伙伴长期软件支持服务，包含24*7接入技术支持服务，软件版本更新和升级及服务页面接入服务</t>
  </si>
  <si>
    <t>PW10-OS6870</t>
  </si>
  <si>
    <t>OS6870型号10年合作伙伴长期软件支持服务，包含24*7接入技术支持服务，软件版本更新和升级及服务页面接入服务</t>
  </si>
  <si>
    <t>PPM1-OS6870</t>
  </si>
  <si>
    <t>OS6870系列1个月合作伙伴升级服务，包含24*7接入技术支持服务，软件版本更新和升级及服务页面接入服务，以及下一工作日硬件先行更换服务AVR。</t>
  </si>
  <si>
    <t>PP1N-OS6870</t>
  </si>
  <si>
    <t>OS6870系列1年合作伙伴升级服务（新购），包含24*7接入技术支持服务，软件版本更新和升级及服务页面接入服务，以及下一工作日硬件先行更换服务AVR。</t>
  </si>
  <si>
    <t>PP2N-OS6870</t>
  </si>
  <si>
    <t>OS6870系列2年合作伙伴升级服务（新购），包含24*7接入技术支持服务，软件版本更新和升级及服务页面接入服务，以及下一工作日硬件先行更换服务AVR。</t>
  </si>
  <si>
    <t>PP3N-OS6870</t>
  </si>
  <si>
    <t>OS6870系列3年合作伙伴升级服务（新购），包含24*7接入技术支持服务，软件版本更新和升级及服务页面接入服务，以及下一工作日硬件先行更换服务AVR。</t>
  </si>
  <si>
    <t>PP5N-OS6870</t>
  </si>
  <si>
    <t>OS6870系列5年合作伙伴升级服务（新购），包含24*7接入技术支持服务，软件版本更新和升级及服务页面接入服务，以及下一工作日硬件先行更换服务AVR。</t>
  </si>
  <si>
    <t>OmniSwitch 6865 Chassis</t>
  </si>
  <si>
    <t>OS6865-P16X</t>
  </si>
  <si>
    <t>OS6865-P16X工业级千兆三层固定配置无风扇交换机，含12个RJ - 45 10/100/1000 BaseT PoE+端口，其中4个是HPoE端口，可提供75W的PoE输出功率。2个1G速率SFP端口，2个可支持1G/10G速率的SFP+端口。RS-232 Console端口（RJ-45），USB端口。包装含有1个180W交流电源模块，电源线，19英寸机柜安装套件，冗余电源模块需另外订购。</t>
  </si>
  <si>
    <t>OS6865-P16XD</t>
  </si>
  <si>
    <t>OS6865-P16X工业级千兆三层固定配置无风扇交换机，含12个RJ - 45 10/100/1000 BaseT PoE+端口，其中4个是HPoE端口，可提供75W的PoE输出功率。2个1G速率SFP端口，2个可支持1G/10G速率的SFP+端口。RS-232 Console端口（RJ-45），USB端口。包装含有1个180W直流流电源模块，电源线，19英寸机柜安装套件，冗余电源模块需另外订购。</t>
  </si>
  <si>
    <t>OS6865-U12X</t>
  </si>
  <si>
    <t>OS6865-U12X工业级千兆三层无风扇交换机，含4个100/1000BaseX SFP端口，2个1000BaseX SFP端口，4个10/100/1000Base-T PoE+端口（所有端口支持75瓦供电），2个SFP+端口，RS-232主控口和USB端口，还包括电源、电源线、19英寸机架安装件</t>
  </si>
  <si>
    <t>OS6865-U12XD</t>
  </si>
  <si>
    <t>OS6865-U12XD工业级千兆三层无风扇交换机，含4个100/1000BaseX SFP端口，2个1000BaseX SFP端口，4个10/100/1000Base-T PoE+端口（所有端口支持75瓦供电），2个SFP+端口，RS-232主控口和USB端口，还包括直流电源、19英寸机架安装件</t>
  </si>
  <si>
    <t>OS6865-U28X</t>
  </si>
  <si>
    <t>OS6865-U28X工业级千兆三层无风扇交换机，含20个100/1000BaseX SFP端口，4个10/100/1000Base-T PoE+端口（所有端口支持75瓦供电），4个SFP+端口，RS-232主控口和USB端口，2x20G VFL/堆叠端口，还包括交流电源、电源线、19英寸机架安装件</t>
  </si>
  <si>
    <t>OS6865-U28XD</t>
  </si>
  <si>
    <t>OS6865-U28XD工业级千兆三层无风扇交换机，含20个100/1000BaseX SFP端口，4个10/100/1000Base-T PoE+端口（所有端口支持75瓦供电），4个SFP+端口，RS-232主控口和USB端口，2x20G VFL/堆叠端口，还包括直流电源、19英寸机架安装件</t>
  </si>
  <si>
    <t>OmniSwitch Power Supplies</t>
  </si>
  <si>
    <t>OS6865-BP</t>
  </si>
  <si>
    <t>OS6865系列模块化180W交流供电模块。可提供1台交换机主机及PoE输出的功率。自适应90-260VAC，含指定国家电源线。</t>
  </si>
  <si>
    <t>OS6865-BP-D</t>
  </si>
  <si>
    <t>OS6865系列模块化180W直流流供电模块。可提供1台交换机主机及PoE输出的功率。自适应20-60VDC</t>
  </si>
  <si>
    <t>OmniSwitch 6865 Accessories</t>
  </si>
  <si>
    <t>OS6865-CBL-100</t>
  </si>
  <si>
    <t xml:space="preserve">OS6865 QSFP+ 直连堆叠电缆，用于型号U28x , 1米 </t>
  </si>
  <si>
    <t>OS6865-CBL-300</t>
  </si>
  <si>
    <t xml:space="preserve">OS6865 QSFP+ 直连堆叠电缆，用于型号U28x , 3米 </t>
  </si>
  <si>
    <t>OS6865-CBL-40</t>
  </si>
  <si>
    <t>OS6865 QSFP+ 直连堆叠电缆，用于型号U28x , 40厘米</t>
  </si>
  <si>
    <t>OS6865-DIN-MNT</t>
  </si>
  <si>
    <t>OS6865-P16X 和 OS6865-U12X 型号DIN导轨安装件. 包括2个安装支架和相连接的夹子.</t>
  </si>
  <si>
    <t>OmniSwitch 6866 Accessories</t>
  </si>
  <si>
    <t>OS6865-DIN-PS5</t>
  </si>
  <si>
    <t>用于OS6865电源OS6865-BP / OS6865-BP-D的DIN 安装支架，每包 5 个</t>
  </si>
  <si>
    <t>OS6865-FRK-BKT4</t>
  </si>
  <si>
    <t>1组4个用于OS6865-U28X的机架安装支架。 包含用于安装的所有必需螺钉。</t>
  </si>
  <si>
    <t>OS6865-HRK-BKT6</t>
  </si>
  <si>
    <t>1组6个用于OS6865-P16X和 OS6865-U12X的机架安装支架。 包含用于安装的所有必需螺钉。</t>
  </si>
  <si>
    <t>OS6865-REAR-MNT</t>
  </si>
  <si>
    <t>在后侧安装情况下用于稳定OS6865-U28X后侧的安装连接套件</t>
  </si>
  <si>
    <t>Extended</t>
  </si>
  <si>
    <t>OS6865-TRAY-1U</t>
  </si>
  <si>
    <t>OS6865 备用电源架，包含将2个电源架并排安装在19英寸机柜中的1RU连接件和安装件</t>
  </si>
  <si>
    <t>OS6865 DNV Certified Parts</t>
  </si>
  <si>
    <t>OS6865-DNV-HRCK</t>
  </si>
  <si>
    <t>OS6865-P16X和OS6865-U12X的DNV电源盖套件。用于OS6865-P16X和OS6865-U12X的DNV认证安装的强制性套件。包含电源盖、后侧支撑轨道、后支撑支架、侧装支架和所有安装硬件。</t>
  </si>
  <si>
    <t>OS6865-DNV-FRCK</t>
  </si>
  <si>
    <t>OS6865-U28X的DNV的电源盖套件。用于OS6865-U28X的DNV认证安装的强制性套件。包含电源盖、后侧支撑轨道、后支撑支架、侧安装支架和所有安装硬件。</t>
  </si>
  <si>
    <t>OS6865 Partner Support</t>
  </si>
  <si>
    <t>PWM1-OS6865</t>
  </si>
  <si>
    <t>OS6865系列1个月合作伙伴软件支持服务，包含24*7接入技术支持服务，软件版本更新和升级及服务页面接入服务</t>
  </si>
  <si>
    <t>PW1N-OS6865</t>
  </si>
  <si>
    <t>OS6865系列1年合作伙伴软件支持服务（新购），包含24*7技术支持，软件版本和补丁升级及服务页面接入。</t>
  </si>
  <si>
    <t>PW2N-OS6865</t>
  </si>
  <si>
    <t>OS6865系列2年合作伙伴软件支持服务（新购），包含24*7接入技术支持服务，软件版本更新和升级及服务页面接入服务</t>
  </si>
  <si>
    <t>PW3N-OS6865</t>
  </si>
  <si>
    <t>OS6865系列3年合作伙伴软件支持服务（新购），包含24*7接入技术支持服务，软件版本更新和升级及服务页面接入服务</t>
  </si>
  <si>
    <t>PW5N-OS6865</t>
  </si>
  <si>
    <t>OS6865系列5年合作伙伴软件支持服务（新购），包含24*7接入技术支持服务，软件版本更新和升级及服务页面接入服务</t>
  </si>
  <si>
    <t>PW8N-OS6865</t>
  </si>
  <si>
    <t>OS6865型号8年合作伙伴长期软件支持服务，包含24*7接入技术支持服务，软件版本更新和升级及服务页面接入服务</t>
  </si>
  <si>
    <t>PW10-OS6865</t>
  </si>
  <si>
    <t>OS6865型号10年合作伙伴长期软件支持服务，包含24*7接入技术支持服务，软件版本更新和升级及服务页面接入服务</t>
  </si>
  <si>
    <t>PPM1-OS6865</t>
  </si>
  <si>
    <t>OS6865系列1个月合作伙伴升级服务，包含24*7接入技术支持服务，软件版本更新和升级及服务页面接入服务，以及下一工作日硬件先行更换服务AVR。</t>
  </si>
  <si>
    <t>PP1N-OS6865</t>
  </si>
  <si>
    <t>OS6865系列1年合作伙伴升级服务（新购），包含24*7接入技术支持服务，软件版本更新和升级及服务页面接入服务，以及下一工作日硬件先行更换服务AVR。</t>
  </si>
  <si>
    <t>PP2N-OS6865</t>
  </si>
  <si>
    <t>OS6865系列2年合作伙伴升级服务（新购），包含24*7接入技术支持服务，软件版本更新和升级及服务页面接入服务，以及下一工作日硬件先行更换服务AVR。</t>
  </si>
  <si>
    <t>PP3N-OS6865</t>
  </si>
  <si>
    <t>OS6865系列3年合作伙伴升级服务（新购），包含24*7接入技术支持服务，软件版本更新和升级及服务页面接入服务，以及下一工作日硬件先行更换服务AVR。</t>
  </si>
  <si>
    <t>PP5N-OS6865</t>
  </si>
  <si>
    <t>OS6865系列5年合作伙伴升级服务（新购），包含24*7接入技术支持服务，软件版本更新和升级及服务页面接入服务，以及下一工作日硬件先行更换服务AVR。</t>
  </si>
  <si>
    <t>PP8N-OS6865</t>
  </si>
  <si>
    <t>OS6865型号8年合作伙伴长期增强技术支持服务，包含24*7接入技术支持服务，软件版本更新和升级及服务页面接入服务，以及下一工作日硬件先行更换服务AVR。</t>
  </si>
  <si>
    <t>PP10-OS6865</t>
  </si>
  <si>
    <t>OS6865型号10年合作伙伴长期增强技术支持服务，包含24*7接入技术支持服务，软件版本更新和升级及服务页面接入服务，以及下一工作日硬件先行更换服务AVR。</t>
  </si>
  <si>
    <t>OS6860N Premium Models</t>
  </si>
  <si>
    <t>OS6860N-P24M</t>
  </si>
  <si>
    <t>多速率以太网L3固定配置机箱，1U规格，24个100/1G/2.5G/5G/10G baseT多速率端口支持 95W bt PoE，2个QSFP28 VFL端口，1个扩展模块插槽。包括920W AC PS，电源线，19英寸机架安装组件和micro-USB转USB console线缆，不包含上行链路模块</t>
  </si>
  <si>
    <t>EOS(09/30/2026)</t>
  </si>
  <si>
    <t>OS6860N-P24M-00</t>
  </si>
  <si>
    <t>OS6860N-P24M的无电源型号. 电源需要独立订购. 多速率以太网L3固定配置机箱，1U规格，24个100/1G/2.5G/5G/10G baseT多速率端口支持 95W bt PoE，2个QSFP28 VFL端口，1个扩展模块插槽。包括19英寸机架安装组件和micro-USB转USB console线缆，不包含上行链路模块</t>
  </si>
  <si>
    <t>OS6860N-P48M</t>
  </si>
  <si>
    <t>多速率以太网L3固定配置机箱，1U规格，具有36个100/1G/2.5G baseT多速率端口支持95W bt PoE，12个100/1G/2.5G/5G/10G baseT多速率端口支持 95W bt PoE，2个QSFP28 VFL端口，1个扩展模块插槽。包括920W AC PS，电源线，19英寸机架安装组件和micro-USB转USB console线缆</t>
  </si>
  <si>
    <t>OS6860NPH48M</t>
  </si>
  <si>
    <t>多速率以太网L3固定配置机箱，1U规格，具有36个100/1G/2.5G baseT多速率端口支持95W bt PoE，12个100/1G/2.5G/5G/10G baseT多速率端口支持 95W bt PoE，2个QSFP28 VFL端口，1个扩展模块插槽。包括600W AC PS，电源线，19英寸机架安装组件和micro-USB转USB console线缆</t>
  </si>
  <si>
    <t>OS6860NPX48M</t>
  </si>
  <si>
    <t>多速率以太网L3固定配置机箱，1U规格，具有36个100/1G/2.5G baseT多速率端口支持95W bt PoE，12个100/1G/2.5G/5G/10G baseT多速率端口支持 95W bt PoE，2个QSFP28 VFL端口，1个扩展模块插槽。包括2000W AC PS，电源线，19英寸机架安装组件和micro-USB转USB console线缆</t>
  </si>
  <si>
    <t>OS6860N Advanced Models</t>
  </si>
  <si>
    <t>OS6860N-P24Z</t>
  </si>
  <si>
    <t>多速率以太网L3固定配置机箱，1U规格，具有12个10/100 / 1000BaseT端口支持60W bt PoE，12个 100 / 1G / 2.5G / 5GBaseT 多速率端口支持95W bt PoE，4个固定SFP28（1G / 10G / 25G）MACsec端口和2个QSFP28 VFL端口。 包括920W AC PS，电源线，19英寸机架安装组件和micro-USB转USB console线缆</t>
  </si>
  <si>
    <t>OS6860N-P24Z-00</t>
  </si>
  <si>
    <t>OS6860N-P24Z的无电源型号.电源需要独立订购.多速率以太网L3固定配置机箱，1U规格，具有12个10/100 / 1000BaseT端口支持60W bt PoE，12个 100 / 1G / 2.5G / 5GBaseT 多速率端口支持95W bt PoE，4个固定SFP28（1G / 10G / 25G）MACsec端口和2个QSFP28 VFL端口。 包括19英寸机架安装组件和micro-USB转USB console线缆</t>
  </si>
  <si>
    <t>OS6860N-P48Z</t>
  </si>
  <si>
    <t>多速率以太网L3固定配置机箱，1U规格，具有36个10/100 / 1000BaseT端口支持60W bt PoE，12个 100 / 1G / 2.5G / 5GBaseT 多速率端口支持95W bt PoE，4个固定SFP28（1G / 10G / 25G）MACsec端口和2个QSFP28 VFL端口。 包括920W AC PS，电源线，19英寸机架安装组件和micro-USB转USB console线缆</t>
  </si>
  <si>
    <t>OS6860N Uplink Modules</t>
  </si>
  <si>
    <t>OS6860NPH48Z</t>
  </si>
  <si>
    <t>多速率以太网L3固定配置机箱，1U规格，具有36个10/100 / 1000BaseT端口支持60W bt PoE，12个 100 / 1G / 2.5G / 5GBaseT 多速率端口支持95W bt PoE，4个固定SFP28（1G / 10G / 25G）MACsec端口和2个QSFP28 VFL端口。 包括600W AC PS，电源线，19英寸机架安装组件和micro-USB转USB console线缆</t>
  </si>
  <si>
    <t>扩展模块</t>
  </si>
  <si>
    <t>OS68-CNI-U1</t>
  </si>
  <si>
    <t>用于OmniSwitch 6860N-P48M的上行端口扩展模块，带有1个25/100G QSFP28端口。 所有端口均支持256位MACsec</t>
  </si>
  <si>
    <t>OS68-QNI-U2</t>
  </si>
  <si>
    <t>用于OmniSwitch 6860N-P48M的上行端口扩展模块，带有2个10 / 40G QSFP +端口。 所有端口均支持256位MACsec</t>
  </si>
  <si>
    <t>OmniSwitch 6860 Enhanced Models</t>
  </si>
  <si>
    <t>OS68-VNI-U4</t>
  </si>
  <si>
    <t>用于OmniSwitch 6860N-P48M的上行端口扩展模块，带有4个1/10 / 25G SFP28端口。 所有端口均支持256位MACsec</t>
  </si>
  <si>
    <t>OS68-XNI-U4</t>
  </si>
  <si>
    <t>用于OmniSwitch 6860N-P48M的上行端口扩展模块，具有4个1 / 10G SFP +端口。所有端口均支持256位MACsec</t>
  </si>
  <si>
    <t>OS6860 Power Supplies</t>
  </si>
  <si>
    <t>OS6860N-BPPH</t>
  </si>
  <si>
    <t>模块化600W AC PoE冗余电源。 为一台PoE OmniSwitch 6860N交换机提供系统和PoE冗余电源。 随附国家/地区专用电源线。与OmniSwitch 6860 / OmniSwitch 6860E系列交换机不兼容。</t>
  </si>
  <si>
    <t>OmniSwitch 6860 Power Supplies</t>
  </si>
  <si>
    <t>OS6860N-BPPX</t>
  </si>
  <si>
    <t>模块化920W AC PoE冗余电源。 为一台PoE OmniSwitch 6860N交换机提供系统和PoE冗余电源。 随附国家/地区专用电源线。 与OmniSwitch 6860 / OmniSwitch 6860E系列交换机不兼容</t>
  </si>
  <si>
    <t>OS6860N-BPXL</t>
  </si>
  <si>
    <t>OmniSwitch 6860N-BPXL模块化2000W AC PoE冗余电源。 为一台PoE OmniSwitch 6860N Premium型号交换机提供系统和PoE冗余电源。 随附国家/地区专用电源线。 与OmniSwitch 6860 / OmniSwitch 6860E系列交换机不兼容</t>
  </si>
  <si>
    <t>OS6860-BP-D</t>
  </si>
  <si>
    <t>OS6860-BP-D 模块化 150W DC电源。为一个非 PoE OS6860、OS6860E 或 OS6860N-U28 交换机供电。</t>
  </si>
  <si>
    <t>OS6860-BP</t>
  </si>
  <si>
    <t>OS6860-BP模块化150W AC备用电源。为一个非PoE OS6860或OS6860E交换机提供备用电源</t>
  </si>
  <si>
    <t>OS6860 Software</t>
  </si>
  <si>
    <t>启用MACsec功能的现场软件许可证书,适用OS6465, OS6560, OS6860, OS6865,OS6870, OS6900, OS9900系列型号. 每个客户免费获得一个许可.</t>
  </si>
  <si>
    <t>OmniSwitch 6860 Accessories</t>
  </si>
  <si>
    <t>OS-FIPSKIT</t>
  </si>
  <si>
    <t xml:space="preserve">用于 OS6860系列, OS6865-P16, OS6900-X/T型号, OS6900-X72的FIPS 140-2 level 2 标准防拆套件 .  </t>
  </si>
  <si>
    <t>OS6860-RS232CBL</t>
  </si>
  <si>
    <t>OS6860-RS232CBL: OS6860/OS6860E线缆组件，包含RS232 micro USB 转 RJ45适配器，和一根USB延长线。</t>
  </si>
  <si>
    <t>安裝支架</t>
  </si>
  <si>
    <t>OS-FRBK-MNT</t>
  </si>
  <si>
    <t>2个前置机架安装支架 OS6560/OS6860/OS6860N/OS6860E/OS6360</t>
  </si>
  <si>
    <t>OS6860-CBL-100</t>
  </si>
  <si>
    <t xml:space="preserve">OS6860 20 G 直连堆叠铜缆（1 米，QSFP+)  </t>
  </si>
  <si>
    <t>M</t>
  </si>
  <si>
    <t>OS6860-CBL-300</t>
  </si>
  <si>
    <t xml:space="preserve">OS6860 20 G 直连堆叠铜缆（3 米，QSFP+)  </t>
  </si>
  <si>
    <t>OS6860-CBL-40</t>
  </si>
  <si>
    <t xml:space="preserve">OS6860 20 G 直连堆叠铜缆（40 cm，QSFP+)  </t>
  </si>
  <si>
    <t>OS6860N-MPLS-1</t>
  </si>
  <si>
    <t>在 OS6860N 交换机的一个节点上启用 MPLS 的软件许可证。节点可以是独立的交换机，也可以是位于单个站点的交换机虚拟机箱。</t>
  </si>
  <si>
    <t>OS6860N-MPLS-4</t>
  </si>
  <si>
    <t xml:space="preserve">在 OS6860N 交换机的四个节点上启用 MPLS 支持的软件许可证。节点可以是独立交换机，也可以是虚拟机箱。所有节点必须位于同一站点 </t>
  </si>
  <si>
    <t>OS6860 Partner Support</t>
  </si>
  <si>
    <t>PWM1-OS6860</t>
  </si>
  <si>
    <t>OS6860系列1个月合作伙伴软件支持服务，包含24*7接入技术支持服务，软件版本更新和升级及服务页面接入服务</t>
  </si>
  <si>
    <t>PW1N-OS6860</t>
  </si>
  <si>
    <t>OS6860系列1年合作伙伴软件支持服务（新购），包含24*7接入技术支持服务，软件版本更新和升级及服务页面接入服务</t>
  </si>
  <si>
    <t>PW2N-OS6860</t>
  </si>
  <si>
    <t>OS6860系列2年合作伙伴软件支持服务（新购），包含24*7接入技术支持服务，软件版本更新和升级及服务页面接入服务</t>
  </si>
  <si>
    <t>PW3N-OS6860</t>
  </si>
  <si>
    <t>OS6860系列3年合作伙伴软件支持服务（新购），包含24*7接入技术支持服务，软件版本更新和升级及服务页面接入服务</t>
  </si>
  <si>
    <t>PW5N-OS6860</t>
  </si>
  <si>
    <t>OS6860系列5年合作伙伴软件支持服务（新购），包含24*7接入技术支持服务，软件版本更新和升级及服务页面接入服务</t>
  </si>
  <si>
    <t>PW8N-OS6860</t>
  </si>
  <si>
    <t>OS6860型号8年合作伙伴长期软件支持服务，包含24*7接入技术支持服务，软件版本更新和升级及服务页面接入服务</t>
  </si>
  <si>
    <t>PW10-OS6860</t>
  </si>
  <si>
    <t>OS6860型号10年合作伙伴长期软件支持服务，包含24*7接入技术支持服务，软件版本更新和升级及服务页面接入服务</t>
  </si>
  <si>
    <t>PPM1-OS6860</t>
  </si>
  <si>
    <t>OS6860系列1个月合作伙伴升级服务，包含24*7接入技术支持服务，软件版本更新和升级及服务页面接入服务，以及下一工作日硬件先行更换服务AVR。</t>
  </si>
  <si>
    <t>PP1N-OS6860</t>
  </si>
  <si>
    <t>OS6860系列1年合作伙伴升级服务（新购），包含24*7接入技术支持服务，软件版本更新和升级及服务页面接入服务，以及下一工作日硬件先行更换服务AVR。</t>
  </si>
  <si>
    <t>PP2N-OS6860</t>
  </si>
  <si>
    <t>OS6860系列2年合作伙伴升级服务（新购），包含24*7接入技术支持服务，软件版本更新和升级及服务页面接入服务，以及下一工作日硬件先行更换服务AVR。</t>
  </si>
  <si>
    <t>PP3N-OS6860</t>
  </si>
  <si>
    <t>OS6860系列3年合作伙伴升级服务（新购），包含24*7接入技术支持服务，软件版本更新和升级及服务页面接入服务，以及下一工作日硬件先行更换服务AVR。</t>
  </si>
  <si>
    <t>PP5N-OS6860</t>
  </si>
  <si>
    <t>OS6860系列5年合作伙伴升级服务（新购），包含24*7接入技术支持服务，软件版本更新和升级及服务页面接入服务，以及下一工作日硬件先行更换服务AVR。</t>
  </si>
  <si>
    <t>PP8N-OS6860</t>
  </si>
  <si>
    <t>OS6860型号8年合作伙伴长期增强技术支持服务，包含24*7接入技术支持服务，软件版本更新和升级及服务页面接入服务，以及下一工作日硬件先行更换服务AVR。</t>
  </si>
  <si>
    <t>PP10-OS6860</t>
  </si>
  <si>
    <t>OS6860型号10年合作伙伴长期增强技术支持服务，包含24*7接入技术支持服务，软件版本更新和升级及服务页面接入服务，以及下一工作日硬件先行更换服务AVR。</t>
  </si>
  <si>
    <t>OmniSwitch 6575 PoE Chassis</t>
  </si>
  <si>
    <t>OS6575-MP16-00</t>
  </si>
  <si>
    <t>IP66/67 工业级千兆  M12 接口无风扇交换机，可提供 120W PoE 功率预算。8 个 10/100 BaseT D-Coded 端口（4 个 PoE+ 30W，4 个非 PoE），8 个 10/100/1000 BaseT X-Coded 端口（4 个 PoE++ 60W，4 个旁路端口），M12 A-Coded RS-232 控制台，报警继电器及 USB 端口。</t>
  </si>
  <si>
    <t>咨询ALE售前</t>
  </si>
  <si>
    <t>OS6575-P12-00</t>
  </si>
  <si>
    <t>工业级千兆无风扇 DIN 导轨交换机。8 个 10/100/1000 BaseT RJ-45 802.3bt PoE 端口，4 个 100/1000 BaseX SFP+ 端口，报警继电器，RS-232 控制台及 USB 端口。支持 FPEE/PPoE，可提供 360W PoE 功率预算。包括用户手册及 DIN 安装硬件。电源需要单独订购。</t>
  </si>
  <si>
    <t>OS6575-P12-ZZ</t>
  </si>
  <si>
    <t>工业级千兆无风扇 DIN 导轨交换机。8 个 10/100/1000 BaseT RJ-45 802.3bt PoE 端口，4 个 100/1000 BaseX SFP+ 端口，报警继电器，RS-232 控制台及 USB 端口。支持 FPEE/PPoE，可提供 360W PoE 功率预算。包含 150W AC 电源。包括用户手册及 DIN 安装硬件。电源线需要单独订购。</t>
  </si>
  <si>
    <t>OS6575-U28-00</t>
  </si>
  <si>
    <t>工业级千兆以太网 3 层 1RU 机架式机箱：20 个 100/1000 BaseX SFP 端口，4 个 SFP+ 端口，4 个 10/100/1000 BaseT Combo PoE (90W) 端口，RS-232 控制台，USB 端口。包括用户手册，19 英寸机架安装套件。电源需要单独订购。</t>
  </si>
  <si>
    <t>OS6575-U28-ZZ</t>
  </si>
  <si>
    <t>工业级千兆以太网 3 层 1RU 机架式机箱：20 个 100/1000 BaseX SFP 端口，4 个 SFP+ 端口，4 个 10/100/1000 BaseT Combo PoE (90W) 端口，RS-232 控制台，USB 端口。包括 180W AC 电源，用户手册，19 英寸机架安装套件。电源线需要单独订购。</t>
  </si>
  <si>
    <t>OmniSwitch 6575 Accessories</t>
  </si>
  <si>
    <t>M12-CONSOLE-5P</t>
  </si>
  <si>
    <t>M12 5P A型公插转RS232（母/母）调试线，1米 5件装</t>
  </si>
  <si>
    <t>M12-ALARM-6P</t>
  </si>
  <si>
    <t>M12 5P A型母头单头预制尾线，1米 6件装</t>
  </si>
  <si>
    <t>M12-USB-2P</t>
  </si>
  <si>
    <t>M12 5P A型母头转USB线，0.5米 2件装</t>
  </si>
  <si>
    <t>M12-DC-M-8P</t>
  </si>
  <si>
    <t>M12 4P D型双公头工业以太网跳线，0.5米 8件装</t>
  </si>
  <si>
    <t>M12-DC-RJ45M-8P</t>
  </si>
  <si>
    <t>M12 4P D型母头转RJ45跳线，0.5米 8件装</t>
  </si>
  <si>
    <t>M12-DC-RJ45F-8P</t>
  </si>
  <si>
    <t>M12 4P D型母头转RJ45插座，0.5米 8件装</t>
  </si>
  <si>
    <t>M12-XC-M-8P</t>
  </si>
  <si>
    <t>M12 8P X型双公头跳线，0.5米 8件装</t>
  </si>
  <si>
    <t>M12-XC-RJ45M-8P</t>
  </si>
  <si>
    <t>M12 8P X型公头转RJ45跳线，0.5米 8件装</t>
  </si>
  <si>
    <t>M12-XC-RJ45F-8P</t>
  </si>
  <si>
    <t>M12 8P X型母头转RJ45插座，0.5米 8件装</t>
  </si>
  <si>
    <t>M23-PWRCONN-5P</t>
  </si>
  <si>
    <t>M23 6芯母头电源连接器（不带线） 5件装</t>
  </si>
  <si>
    <t>OmniSwitch 6575 Power Supplies</t>
  </si>
  <si>
    <t>OS6575-BPR</t>
  </si>
  <si>
    <t>OS6575-BPR 模块化 180W AC 电源。 为 1 台 OS6575-U28 交换机提供系统和 PoE 电源。附标准电源线和机箱连接线缆。</t>
  </si>
  <si>
    <t>OS6575-BPR-ZZ</t>
  </si>
  <si>
    <t>OS6575-BPR 模块化 180W AC 电源。 为 1 台 OS6575-U28 交换机提供系统和 PoE 电源。电源线需要单独订购。</t>
  </si>
  <si>
    <t>OS6575-BPR-D</t>
  </si>
  <si>
    <t>OS6575-BPR 模块化 180W DC 电源。 为 1 台 OS6575-U28 交换机提供系统和 PoE 电源。附标准电源线和机箱连接线缆。</t>
  </si>
  <si>
    <t>OS6NN5-BPNS</t>
  </si>
  <si>
    <t>OS6575-P12 模块化 DIN 导轨 150W AC 电源。 为 1 台 OS6575-P12 交换机提供系统及 PoE 电源。附标准电源线及 TS-35/7.5 或 15 DIN 导轨安装件。</t>
  </si>
  <si>
    <t>OS6NN5-BPNS-ZZ</t>
  </si>
  <si>
    <t>OS6575-P12 模块化 DIN 导轨 150W AC 电源。 为 1 台 OS6575-P12 交换机提供系统及 PoE 电源。附 TS-35/7.5 或 15 DIN 导轨安装件。电源线需要单独订购。</t>
  </si>
  <si>
    <t>OS6NN5-BPNSX</t>
  </si>
  <si>
    <t>OS6575 系列模块化 DIN 导轨 480W AC 电源。 为 1 台 OS6575-P12/-U28 交换机提供系统及 PoE 电源。附标准电源线及 TS-35/7.5 或 15 DIN 导轨安装件。</t>
  </si>
  <si>
    <t>OS6NN5-BPNSX-ZZ</t>
  </si>
  <si>
    <t>OS6575 系列模块化 DIN 导轨 480W AC 电源。 为 1 台 OS6575-P12/-U28 交换机提供系统及 PoE 电源。附 TS-35/7.5 或 15 DIN 导轨安装件。电源线需要单独订购。</t>
  </si>
  <si>
    <t xml:space="preserve">OmniSwitch 6575 Partner Support </t>
  </si>
  <si>
    <t>PW1N-OS6575</t>
  </si>
  <si>
    <t>OS6575系列1年合作伙伴软件支持服务（新购），包含24*7技术支持，软件版本和补丁升级及服务页面接入。</t>
  </si>
  <si>
    <t>PW2N-OS6575</t>
  </si>
  <si>
    <t>OS6575系列2年合作伙伴软件支持服务（新购），包含24*7技术支持，软件版本和补丁升级及服务页面接入。</t>
  </si>
  <si>
    <t>PW3N-OS6575</t>
  </si>
  <si>
    <t>OS6575系列3年合作伙伴软件支持服务（新购），包含24*7技术支持，软件版本和补丁升级及服务页面接入。</t>
  </si>
  <si>
    <t>PW5N-OS6575</t>
  </si>
  <si>
    <t>OS6575系列5年合作伙伴软件支持服务（新购），包含24*7技术支持，软件版本和补丁升级及服务页面接入。</t>
  </si>
  <si>
    <t>PP1N-OS6575</t>
  </si>
  <si>
    <t>OS6575系列1年合作伙伴升级服务（新购），包含24*7接入技术支持服务，软件版本更新和升级及服务页面接入服务，以及下一工作日硬件先行更换服务AVR。</t>
  </si>
  <si>
    <t>PP2N-OS6575</t>
  </si>
  <si>
    <t>OS6575系列2年合作伙伴升级服务（新购），包含24*7接入技术支持服务，软件版本更新和升级及服务页面接入服务，以及下一工作日硬件先行更换服务AVR。</t>
  </si>
  <si>
    <t>PP3N-OS6575</t>
  </si>
  <si>
    <t>OS6575系列3年合作伙伴升级服务（新购），包含24*7接入技术支持服务，软件版本更新和升级及服务页面接入服务，以及下一工作日硬件先行更换服务AVR。</t>
  </si>
  <si>
    <t>PP5N-OS6575</t>
  </si>
  <si>
    <t>OS6575系列5年合作伙伴升级服务（新购），包含24*7接入技术支持服务，软件版本更新和升级及服务页面接入服务，以及下一工作日硬件先行更换服务AVR。</t>
  </si>
  <si>
    <t>PW1X-OS6575</t>
  </si>
  <si>
    <t>OS6575系列1年合作伙伴软件支持扩展服务（新购），包含24*7技术支持，软件版本和补丁升级及服务页面接入。</t>
  </si>
  <si>
    <t>PW8N-OS6575</t>
  </si>
  <si>
    <t>OS6575型号8年合作伙伴长期软件支持服务，包含24*7接入技术支持服务，软件版本更新和升级及服务页面接入服务</t>
  </si>
  <si>
    <t>PW10-OS6575</t>
  </si>
  <si>
    <t>OS6575型号10年合作伙伴长期软件支持服务，包含24*7接入技术支持服务，软件版本更新和升级及服务页面接入服务</t>
  </si>
  <si>
    <t>PP8N-OS6575</t>
  </si>
  <si>
    <t>OS6575型号8年合作伙伴长期增强技术支持服务，包含24*7接入技术支持服务，软件版本更新和升级及服务页面接入服务，以及下一工作日硬件先行更换服务AVR。</t>
  </si>
  <si>
    <t>PP10-OS6575</t>
  </si>
  <si>
    <t>OS6575型号10年合作伙伴长期增强技术支持服务，包含24*7接入技术支持服务，软件版本更新和升级及服务页面接入服务，以及下一工作日硬件先行更换服务AVR。</t>
  </si>
  <si>
    <t>PWM1-OS6575</t>
  </si>
  <si>
    <t>OS6575系列1个月合作伙伴软件支持服务，包含24*7接入技术支持服务，软件版本更新和升级及服务页面接入服务</t>
  </si>
  <si>
    <t>PPM1-OS6575</t>
  </si>
  <si>
    <t>OS6575系列1个月合作伙伴升级服务，包含24*7接入技术支持服务，软件版本更新和升级及服务页面接入服务，以及下一工作日硬件先行更换服务AVR。</t>
  </si>
  <si>
    <t>OS6570 non-PoE Chassis</t>
  </si>
  <si>
    <t>OS6570M-12</t>
  </si>
  <si>
    <t>OS6570M-12千兆1U 1/2机架交换机。8个RJ45 10/100/1000 BaseT, 2个100/1G Base-X SFP, 2个1G/10G SFP+端口。内部交流电源，包括指定国家电源线。19英寸机架安装套件和可选备用电源，需要单独订购。</t>
  </si>
  <si>
    <t>OS6570M-12D</t>
  </si>
  <si>
    <t>OS6570M-12D千兆1U 1/2机架交换机。8个RJ45 10/100/1000 BaseT, 2个100/1G Base-X SFP, 2个1G/10G SFP+端口。内部直流电源，包括指定国家电源线。19英寸机架安装套件和可选备用电源，需要单独订购。</t>
  </si>
  <si>
    <t>OS6570M-U28</t>
  </si>
  <si>
    <t>OS6570M-U28千兆1U交换机，20个100/1000 Base-X SFP端口，4个SFP/RJ45 Combo端口，4个1G/10G*SFP+端口和2x1G/10G SFP+上行/堆叠端口。 包括交流电源，指定国家电源线，安装支架。可选备用电源和*10G端口许可升级，需要单独订购。</t>
  </si>
  <si>
    <t>OS6570M-U28D</t>
  </si>
  <si>
    <t>OS6570M-U28D千兆1U交换机，20个100/1000 Base-X SFP端口，4个SFP/RJ45 Combo端口，4个1G/10G*SFP+端口和2x1G/10G SFP+上行/堆叠端口。 包括直流电源，指定国家电源线，安装支架。可选备用电源和*10G速率端口升级许可，需要单独订购。</t>
  </si>
  <si>
    <t>OS6570 Accessories</t>
  </si>
  <si>
    <t>OS6570M-DUO-MNT</t>
  </si>
  <si>
    <t>两个通用安装和滑动支架配件套件。用于在 19 英寸机架上安装两个 OS6570-12/12D 交换机型号的硬件。</t>
  </si>
  <si>
    <t>OS6570M-RM-19-L</t>
  </si>
  <si>
    <t xml:space="preserve">简易 L 型支架，用于在 在 19 英寸机架上安装单个 OS6570-12/12D/P12 交换机型号的硬件    </t>
  </si>
  <si>
    <t>OS6570 Power Supplies</t>
  </si>
  <si>
    <t>OS6570-SW-PERF4</t>
  </si>
  <si>
    <t>性能软件许可，允许OS6570-U28型号交换机的4个固定SFP+端口以10G速度运行。</t>
  </si>
  <si>
    <t>OS6570 Software</t>
  </si>
  <si>
    <t>OS6570M-SW-AR</t>
  </si>
  <si>
    <t>OS6570 高级路由许可支持高级路由： 用于 IPv4 和 IPv6 的 OSPF、ISIS、PIM 和 VRF。 每个 NI 交换机一个许可证。 详情请查看 AOS 规格指南。</t>
  </si>
  <si>
    <t>OS6570-SW-PRM28</t>
  </si>
  <si>
    <t>OS6570M-U28/D的高级软件许可证，可在6个SFP28上行端口实现25G速率，启用SPB并包含OS6570M-SW-AR中的高级路由功能。激活所需的最低软件版本为 810R4。</t>
  </si>
  <si>
    <t>OS6570-SW-PRM12</t>
  </si>
  <si>
    <t>OS6570M-12/D高级软件许可证，启用SPB并包含OS6570M-SW-AR中的高级路由功能。激活所需的最低软件版本为 810R4。</t>
  </si>
  <si>
    <t>OS6570-12-BP</t>
  </si>
  <si>
    <t>OS6570-BP模块化60W交流备用电源。为一台非PoE OS6570 12端口交换机提供备用电源，包含指定国家电源线。</t>
  </si>
  <si>
    <t>OS6570-12-BP-D</t>
  </si>
  <si>
    <t>OS6570-BP模块化30W直流备用电源。为一台非PoE OS6570 12端口交换机提供备用电源。包含DC连接器。</t>
  </si>
  <si>
    <t>OS6570-BP-D</t>
  </si>
  <si>
    <t>OS6570-BP模块化150W直流备用电源。为一台非PoE的OS6570 24/48端口交换机提供备用电源。包含DC连接器。</t>
  </si>
  <si>
    <t>OS6570-BP</t>
  </si>
  <si>
    <t>OS6570-BP模块化150W交流备用电源。为一台非PoE的OS6570 24/48端口交换机提供备用电源。包含指定国家电源线。</t>
  </si>
  <si>
    <t>OS6570 Partner Support</t>
  </si>
  <si>
    <t>PPM1-OS6570</t>
  </si>
  <si>
    <t>OS6570系列1个月合作伙伴升级服务，包含24*7接入技术支持服务，软件版本更新和升级及服务页面接入服务，以及下一工作日硬件先行更换服务AVR。</t>
  </si>
  <si>
    <t>PP1N-OS6570</t>
  </si>
  <si>
    <t>OS6570系列1年合作伙伴升级服务（新购），包含24*7接入技术支持服务，软件版本更新和升级及服务页面接入服务，以及下一工作日硬件先行更换服务AVR。</t>
  </si>
  <si>
    <t>PP2N-OS6570</t>
  </si>
  <si>
    <t>OS6570系列2年合作伙伴升级服务（新购），包含24*7接入技术支持服务，软件版本更新和升级及服务页面接入服务，以及下一工作日硬件先行更换服务AVR。</t>
  </si>
  <si>
    <t>PP3N-OS6570</t>
  </si>
  <si>
    <t>OS6570系列3年合作伙伴升级服务（新购），包含24*7接入技术支持服务，软件版本更新和升级及服务页面接入服务，以及下一工作日硬件先行更换服务AVR。</t>
  </si>
  <si>
    <t>PP5N-OS6570</t>
  </si>
  <si>
    <t>OS6570系列5年合作伙伴升级服务（新购），包含24*7接入技术支持服务，软件版本更新和升级及服务页面接入服务，以及下一工作日硬件先行更换服务AVR。</t>
  </si>
  <si>
    <t>PWM1-OS6570</t>
  </si>
  <si>
    <t>OS6570系列1个月合作伙伴软件支持服务，包含24*7接入技术支持服务，软件版本更新和升级及服务页面接入服务</t>
  </si>
  <si>
    <t>PW1N-OS6570</t>
  </si>
  <si>
    <t>OS6570系列1年合作伙伴软件支持服务（新购），包含24*7接入技术支持服务，软件版本更新和升级及服务页面接入服务</t>
  </si>
  <si>
    <t>PW2N-OS6570</t>
  </si>
  <si>
    <t>OS6570系列2年合作伙伴软件支持服务（新购），包含24*7接入技术支持服务，软件版本更新和升级及服务页面接入服务</t>
  </si>
  <si>
    <t>PW3N-OS6570</t>
  </si>
  <si>
    <t>OS6570系列3年合作伙伴软件支持服务（新购），包含24*7接入技术支持服务，软件版本更新和升级及服务页面接入服务</t>
  </si>
  <si>
    <t>PW5N-OS6570</t>
  </si>
  <si>
    <t>OS6570系列5年合作伙伴软件支持服务（新购），包含24*7接入技术支持服务，软件版本更新和升级及服务页面接入服务</t>
  </si>
  <si>
    <t>OmniSwitch 6560 PoE Chassis</t>
  </si>
  <si>
    <t>OS6560E-P24Z8</t>
  </si>
  <si>
    <t>多速率千兆1U交换机，提供 4xRJ-45 100/1G/2.5G BaseT PoE(95W) 端口, 4xRJ-45 100/1G/2.5/5G BaseT PoE(95W) 端口, 16个RJ-45 10/100/1G BaseT PoE+ 端口以及 2xSFP+ (1G/10G) 端口, 包括 600W AC 电源, 电源线，19寸机架安装件</t>
  </si>
  <si>
    <t>OS6560-P24Z24</t>
  </si>
  <si>
    <t>多速率千兆1U交换机，提供24个RJ-45 100/1G/2.5G BaseT HPoE端口，4个SFP+ 1G/10G端口，2个20G堆叠端口，包括600瓦AC电源，电源线，19寸机架安装件</t>
  </si>
  <si>
    <t>OS6560E-P48Z16</t>
  </si>
  <si>
    <t>多速率千兆1U交换机，提供12个RJ-45 2.5G BaseT HPoE 端口, 4 RJ-45 5G BaseT HPoE 端口,  32个RJ-45 10/100/1G BaseT PoE+ 端口，4xSFP+(1G/10G) 以及 2x20G 堆叠端口, 包括 920W AC 电源, 电源线，19寸机架安装件</t>
  </si>
  <si>
    <t>OS6560-P24X4</t>
  </si>
  <si>
    <t>千兆以太网固定配置机箱，1U规格，有24个RJ-45 10/100/1000 Base-T PoE端口、2个固定SFP(1G)端口，4个固定SFP+ (1G/10G) 上联或堆叠端口。包括一个600w poe电源、指定国家的电源线、安装在19”机架上所需的硬件。</t>
  </si>
  <si>
    <t>OmniSwitch 6560 non-PoE Chassis</t>
  </si>
  <si>
    <t>OS6560-24X4</t>
  </si>
  <si>
    <t>千兆以太网固定配置机箱，1U规格，有24个RJ-45 10/100/1000 Base-T 端口、2个固定SFP(1G)端口，4个固定SFP+ (1G/10G) 上联或堆叠端口。包括内置AC电源、指定国家的电源线、安装在19”机架上所需的硬件。</t>
  </si>
  <si>
    <t>OS6560-P48X4</t>
  </si>
  <si>
    <t>千兆以太网固定配置机箱，48个RJ-45 10/100/1000 Base-T POE端口、2个固定SFP(1G)端口，4个固定SFP+ (1G/10G) 上联或堆叠端口。1U规格，920瓦内置AC电源、指定国家的电源线、安装在19”机架上所需的硬件。</t>
  </si>
  <si>
    <t>OS6560-PXZ24</t>
  </si>
  <si>
    <t>多速率千兆1U交换机，提供24个RJ-45 100/1G/2.5G BaseT HPoE端口，4个SFP+ 1G/10G端口，2个20G堆叠端口，包括920瓦AC电源，电源线，19寸机架安装件</t>
  </si>
  <si>
    <t>OS6560-48X4</t>
  </si>
  <si>
    <t>千兆以太网固定配置机箱，48个RJ-45 10/100/1000 Base-T 端口、2个固定SFP(1G)端口，4个固定SFP+ (1G/10G) 上联或堆叠端口。1U规格，内置AC电源、指定国家的电源线、安装在19”机架上所需的硬件。</t>
  </si>
  <si>
    <t>OS6560-X10</t>
  </si>
  <si>
    <t>万兆以太网固定配置机箱，8个固定SFP+ 10G端口, 2个QSFP+(20G)堆叠端口。1U规格，内置AC电源、指定国家的电源线、安装在19”机架上所需的硬件。</t>
  </si>
  <si>
    <t>OmniSwitch 6560 Power Supplies</t>
  </si>
  <si>
    <t>OS6560-BP-P</t>
  </si>
  <si>
    <t>OS6560 300瓦交流PoE备用电源模块，为OS6560提供系统和PoE备用电源，包括电源线</t>
  </si>
  <si>
    <t>OS6560-BP-PH</t>
  </si>
  <si>
    <t>OS6560 600瓦交流PoE备用电源模块，为OS6560提供系统和PoE备用电源，包括电源线</t>
  </si>
  <si>
    <t>OS6560-BP-PX</t>
  </si>
  <si>
    <t>OS6560 920瓦交流PoE备用电源模块，为OS6560提供系统和PoE备用电源，包括电源线</t>
  </si>
  <si>
    <t>OS6560 Power Supplies</t>
  </si>
  <si>
    <t>OS6560-BP</t>
  </si>
  <si>
    <t>OS6560 150瓦交流备用电源模块，为OS6560提供系统和备用电源，包括电源线</t>
  </si>
  <si>
    <t>OS6560-BP-D</t>
  </si>
  <si>
    <t>OS6560 150瓦直流备用电源模块，为OS6560提供系统和备用电源，包括电源线</t>
  </si>
  <si>
    <t>OmniSwitch 6560 Software</t>
  </si>
  <si>
    <t>OS6560-SW-ME</t>
  </si>
  <si>
    <t>启用城域网服务功能的软件许可</t>
  </si>
  <si>
    <t>OmniSwitch 6560 Accessories</t>
  </si>
  <si>
    <t>OS6560-SW-PERF</t>
  </si>
  <si>
    <t>性能软件许可证，允许2个固定SFP+端口以10G速度运行。</t>
  </si>
  <si>
    <t>OS6560-SW-AR</t>
  </si>
  <si>
    <t>OS6560 Adv Routing 许可用于每个 NI 交换机上启用 OSFP 路由。 该许可证可增加 OSPF 区域类型、OSPF 接口、OSPF 和 IP 硬件路由可扩展性。有关详细信息，请查阅 AOS 规格指南。</t>
  </si>
  <si>
    <t>OS6560-CBL-100</t>
  </si>
  <si>
    <t xml:space="preserve">OS6560 20 G 直连堆叠铜缆（1 米，QSFP+)  </t>
  </si>
  <si>
    <t>OS6560-CBL-300</t>
  </si>
  <si>
    <t xml:space="preserve">OS6560 20 G 直连堆叠铜缆（3 米，QSFP+)  </t>
  </si>
  <si>
    <t>OS6560-CBL-40</t>
  </si>
  <si>
    <t xml:space="preserve">OS6560 20 G 直连堆叠铜缆（40 cm，QSFP+)  </t>
  </si>
  <si>
    <t>SFP-10G-C1M</t>
  </si>
  <si>
    <t>10G直连铜缆 (DAC, uplink/stacking), 1m, SFP+</t>
  </si>
  <si>
    <t>SFP-10G-C3M</t>
  </si>
  <si>
    <t>10G直连铜缆(DAC, uplink/stacking) 3m, SFP+</t>
  </si>
  <si>
    <t>SFP-10G-C7M</t>
  </si>
  <si>
    <t>10G直连铜缆 (DAC, uplink/stacking) 7m, SFP+</t>
  </si>
  <si>
    <t>OS6560 DNV Certified</t>
  </si>
  <si>
    <t>OS-DNV-FILTER</t>
  </si>
  <si>
    <t>OmniSwitch DNV EMC 内置电源滤波器适用于 DNV 安装（适用于 OS6560-P48X4 和 OS6560-X10 型号），每个电源需要一个滤波器。</t>
  </si>
  <si>
    <t>OS-DNV-MNT</t>
  </si>
  <si>
    <t>DNV安装所需的后面及侧面安装导轨套件（适用于OS6560-P48X4、OS6560-X10型号）</t>
  </si>
  <si>
    <t>OS6560 Partner Support</t>
  </si>
  <si>
    <t>PWM1-OS6560</t>
  </si>
  <si>
    <t>OS6560系列1个月合作伙伴软件支持服务，包含24*7接入技术支持服务，软件版本更新和升级及服务页面接入服务</t>
  </si>
  <si>
    <t>PW1N-OS6560</t>
  </si>
  <si>
    <t>OS6560系列1年合作伙伴软件支持服务（新购），包含24*7接入技术支持服务，软件版本更新和升级及服务页面接入服务</t>
  </si>
  <si>
    <t>PW2N-OS6560</t>
  </si>
  <si>
    <t>OS6560系列2年合作伙伴软件支持服务（新购），包含24*7接入技术支持服务，软件版本更新和升级及服务页面接入服务</t>
  </si>
  <si>
    <t>PW3N-OS6560</t>
  </si>
  <si>
    <t>OS6560系列3年合作伙伴软件支持服务（新购），包含24*7接入技术支持服务，软件版本更新和升级及服务页面接入服务</t>
  </si>
  <si>
    <t>PW5N-OS6560</t>
  </si>
  <si>
    <t>OS6560系列5年合作伙伴软件支持服务（新购），包含24*7接入技术支持服务，软件版本更新和升级及服务页面接入服务</t>
  </si>
  <si>
    <t>PW8N-OS6560</t>
  </si>
  <si>
    <t>OS6560型号8年合作伙伴长期软件支持服务，包含24*7接入技术支持服务，软件版本更新和升级及服务页面接入服务</t>
  </si>
  <si>
    <t>PW10-OS6560</t>
  </si>
  <si>
    <t>OS6560型号10年合作伙伴长期软件支持服务，包含24*7接入技术支持服务，软件版本更新和升级及服务页面接入服务</t>
  </si>
  <si>
    <t>PPM1-OS6560</t>
  </si>
  <si>
    <t>OS6560系列1个月合作伙伴升级服务，包含24*7接入技术支持服务，软件版本更新和升级及服务页面接入服务，以及下一工作日硬件先行更换服务AVR。</t>
  </si>
  <si>
    <t>PP1N-OS6560</t>
  </si>
  <si>
    <t>OS6560系列1年合作伙伴升级服务（新购），包含24*7接入技术支持服务，软件版本更新和升级及服务页面接入服务，以及下一工作日硬件先行更换服务AVR。</t>
  </si>
  <si>
    <t>PP2N-OS6560</t>
  </si>
  <si>
    <t>OS6560系列2年合作伙伴升级服务（新购），包含24*7接入技术支持服务，软件版本更新和升级及服务页面接入服务，以及下一工作日硬件先行更换服务AVR。</t>
  </si>
  <si>
    <t>PP3N-OS6560</t>
  </si>
  <si>
    <t>OS6560系列3年合作伙伴升级服务（新购），包含24*7接入技术支持服务，软件版本更新和升级及服务页面接入服务，以及下一工作日硬件先行更换服务AVR。</t>
  </si>
  <si>
    <t>PP5N-OS6560</t>
  </si>
  <si>
    <t>OS6560系列5年合作伙伴升级服务（新购），包含24*7接入技术支持服务，软件版本更新和升级及服务页面接入服务，以及下一工作日硬件先行更换服务AVR。</t>
  </si>
  <si>
    <t>PP8N-OS6560</t>
  </si>
  <si>
    <t>OS6560型号10年合作伙伴长期增强技术支持服务，包含24*7接入技术支持服务，软件版本更新和升级及服务页面接入服务，以及下一工作日硬件先行更换服务AVR。</t>
  </si>
  <si>
    <t>PP10-OS6560</t>
  </si>
  <si>
    <t>OS6465 Switch Bundles</t>
  </si>
  <si>
    <t>OS6465-P28D</t>
  </si>
  <si>
    <t>工业级千兆无风扇1U交换机. 22个10/100/1000 Base-T RJ-45 PoE+ (8x60W PoE)端口, 2个100/1000 Base-X SFP端口（也可支持100FX）,4个1G/10G SFP+端口(其中2端口用于堆叠),RS-232 Console, 1个USB端口和1进1出告警中继.包含 24/48V DC 电源, 电源托盘 和19英寸机架安装件。</t>
  </si>
  <si>
    <t>OS6465-P6-CN</t>
  </si>
  <si>
    <t>工业级千兆无风扇交换机. 4个10/100/1000 Base-T RJ-45 PoE+ (2x60W PoE)端口, 2个100/1000 Base-X SFP端口,RS-232 Console, 告警中继: 1 进 1 出 &amp; USB 端口.包含用户手册卡 &amp; TS-35/7.5 或 15 DIN 轨道安装件.包含75W AC电源，电源线，电源托盘&amp; TS-35/7.5 or 15 DIN 轨道安装件</t>
  </si>
  <si>
    <t>OS6465-P28-CN</t>
  </si>
  <si>
    <t>工业级千兆无风扇1U交换机. 22个10/100/1000 Base-T RJ-45 PoE+ (8x60W PoE)端口, 2个100/1000 Base-X SFP端口（也可支持100FX）,4个1G/10G SFP+端口(其中2端口用于堆叠),RS-232 Console, 1个USB端口和1进1出告警中继.包含 180W AC 电源, 电源线, 电源托盘 和19英寸机架安装件。</t>
  </si>
  <si>
    <t>OS6465H-P12-CN</t>
  </si>
  <si>
    <t>工业级千兆无风扇交换机. 8个10/100/1000 Base-T RJ-45 802.3bt type-3 PoE。 4个100/1000 Base-X SFP端口,RS-232 Console, 告警中继: 1 进 1 出 &amp; USB 端口. FPoE/PPoE 与 240W PoE电源，包含75W AC电源, 用户手册卡 &amp; TS-35/7.5 or 15 DIN 轨道安装件</t>
  </si>
  <si>
    <t>OS6465 Switches</t>
  </si>
  <si>
    <t>OS6465H-P12</t>
  </si>
  <si>
    <t>工业级千兆无风扇交换机. 8个10/100/1000 Base-T RJ-45 802.3bt type-3 PoE。 4个100/1000 Base-X SFP端口,RS-232 Console, 告警中继: 1 进 1 出 &amp; USB 端口. FPoE/PPoE 与 240W PoE电源, 用户手册卡 &amp; TS-35/7.5 or 15 DIN 轨道安装件</t>
  </si>
  <si>
    <t>OS6465-P28</t>
  </si>
  <si>
    <t>工业级千兆无风扇1U交换机. 22个10/100/1000 Base-T RJ-45 PoE+ (8x60W PoE)端口, 2个100/1000 Base-X SFP端口（也可支持100FX）,4个1G/10G SFP+端口(其中2端口用于堆叠),RS-232 Console, 1个USB端口和1进1出告警中继.包含19英寸机架安装件，电源需要单独订购。</t>
  </si>
  <si>
    <t>OS6465-P6</t>
  </si>
  <si>
    <t>工业级千兆无风扇交换机. 4个10/100/1000 Base-T RJ-45 PoE+ (2x60W PoE)端口, 2个100/1000 Base-X SFP端口,RS-232 Console, 告警中继: 1 进 1 出 &amp; USB 端口.包含 TS-35/7.5 或 15 DIN 轨道安装件. 电源需单独订购</t>
  </si>
  <si>
    <t>OS6465T Extended Temperature Switches</t>
  </si>
  <si>
    <t>OS6465T-12</t>
  </si>
  <si>
    <t>OS6465T-12千兆以太网交换机，8个RJ45 10/100/1000 BaseT，2个SFP/RJ45 combo，2个SFP端口。1RU的1/2机架宽度，内部交流电源，工作温度-10至60度，包括电源线、RJ45至DB9适配器。</t>
  </si>
  <si>
    <t>OS6465T-P12</t>
  </si>
  <si>
    <t>OS6465T-P12千兆以太网交换机，8个RJ45 10/100/1000 BaseT PoE+，2个SFP/RJ45 combo，2个SFP端口。1RU的1/2机架宽度，内部交流电源，工作温度-10至60度，包括电源线、RJ45至DB9适配器。</t>
  </si>
  <si>
    <t>OS6465 Power Supplies</t>
  </si>
  <si>
    <t>OS6465-BPN-H</t>
  </si>
  <si>
    <t>OS6465 模块化 DIN 轨道180W AC 备份电源. 为一台OS6465-P6 或 OS6465-P12提供系统和 PoE 电力. 随机提供指定国家标准电源线和TS-35/7.5 或 15 DIN 轨道安装件</t>
  </si>
  <si>
    <t>OS6465-BPN</t>
  </si>
  <si>
    <t>OS6465 模块化 DIN 轨道75W AC 电源. 为一台OS6465-P6 或 OS6465-P12提供系统和 PoE 电力. 随机提供指定国家标准电源线和TS-35/7.5 或 15 DIN 轨道安装件</t>
  </si>
  <si>
    <t>OS6465H-BPNX</t>
  </si>
  <si>
    <t>DIN 轨道AC 电源. 提供系统电源及240W的POE电源，此电源模块只能给OS6465H-P12交换机供电，不能给OS6465-P12/OS6465-P6供电. 随机提供指定国家标准电源线和TS-35/7.5 或 15 DIN 轨道安装件</t>
  </si>
  <si>
    <t>OS6465-BPR</t>
  </si>
  <si>
    <t>OS6465-P28用模块化负荷分担180W AC备用电源，为一台OS6465-P28提供系统和POE电力，自动适应交流电压90V到260V，包括美标电源线。</t>
  </si>
  <si>
    <t>OS6465-BPRD</t>
  </si>
  <si>
    <t>OS6465-P28用模块化负荷分担24/48V输入DC备用电源，为一台OS6465-P28提供系统和POE电力。</t>
  </si>
  <si>
    <t>OmniSwitch 6465 Software</t>
  </si>
  <si>
    <t>OmniSwitch 6465 Accessories</t>
  </si>
  <si>
    <t>OS-RJ45-DB9-5P</t>
  </si>
  <si>
    <t>RJ45 转 DB9 适配器，适用于 OS6465，5 件装</t>
  </si>
  <si>
    <t>OS6465-FRK-BKT4</t>
  </si>
  <si>
    <t>1组4个用于OS6465的机架安装支架。 包含用于安装的所有必需螺钉。</t>
  </si>
  <si>
    <t>OS6465-REAR-MNT</t>
  </si>
  <si>
    <t>OS6465-P28用,支架和侧面的安装轨道套件,当安装在交换机后部时用于稳定电源托盘。</t>
  </si>
  <si>
    <t>OS6465-WALL-KT5</t>
  </si>
  <si>
    <t>5套适用于OS6465-P6和OS6465-P12的墙壁/面板安装套件。适用于安装5个交换机。每个组件由4个支架和螺钉组成，用于安装在金属板上。</t>
  </si>
  <si>
    <t>OS6465T-DUO-MNT</t>
  </si>
  <si>
    <t>两个通用安装和滑动支架配件套件。用于在19”机架中安装两个OS6465T-12 / OS6465T-P12交换机。</t>
  </si>
  <si>
    <t>OS6465T-RM-19-L</t>
  </si>
  <si>
    <t>简化L型支架，用于在19”机架中安装一个OS6465T-12 / OS6465T-P12交换机。</t>
  </si>
  <si>
    <t>OS6465T-CBL-60</t>
  </si>
  <si>
    <t>用于OS6465T-12和OS6465T-P12堆叠线缆（60cm）</t>
  </si>
  <si>
    <t>OS6465T-CBL-1M</t>
  </si>
  <si>
    <t>用于OS6465T-12和OS6465T-P12堆叠线缆（1m）</t>
  </si>
  <si>
    <t>OS6465T-CBL-3M</t>
  </si>
  <si>
    <t>用于OS6465T-12和OS6465T-P12堆叠线缆（3m）</t>
  </si>
  <si>
    <t>OS6465 DNV Certified Parts</t>
  </si>
  <si>
    <t>OS6465-DNV-DIN</t>
  </si>
  <si>
    <t>OS6465-P6和OS6465-P12的DNV电源盖套件，用于OS6465-P6 和 OS6465-P12的DNV认证安装的强制性套件，包含电源盖和所有安装硬件。</t>
  </si>
  <si>
    <t>OS6465-DNV-RACK</t>
  </si>
  <si>
    <t>OS6865-P28的DNV电源盖套件，用于OS6865-P28的DNV认证安装的强制性套件，包含电源盖和所有安装硬件。</t>
  </si>
  <si>
    <t>OS6465 Partner Support</t>
  </si>
  <si>
    <t>PWM1-OS6465</t>
  </si>
  <si>
    <t>OS6465系列1个月合作伙伴软件支持服务，包含24*7接入技术支持服务，软件版本更新和升级及服务页面接入服务</t>
  </si>
  <si>
    <t>PW1N-OS6465</t>
  </si>
  <si>
    <t>OS6465系列1年合作伙伴软件支持服务（新购），包含24*7接入技术支持服务，软件版本更新和升级及服务页面接入服务</t>
  </si>
  <si>
    <t>PW2N-OS6465</t>
  </si>
  <si>
    <t>OS6465系列2年合作伙伴软件支持服务（新购），包含24*7接入技术支持服务，软件版本更新和升级及服务页面接入服务</t>
  </si>
  <si>
    <t>PW3N-OS6465</t>
  </si>
  <si>
    <t>OS6465系列3年合作伙伴软件支持服务（新购），包含24*7接入技术支持服务，软件版本更新和升级及服务页面接入服务</t>
  </si>
  <si>
    <t>PW5N-OS6465</t>
  </si>
  <si>
    <t>OS6465系列5年合作伙伴软件支持服务（新购），包含24*7接入技术支持服务，软件版本更新和升级及服务页面接入服务</t>
  </si>
  <si>
    <t>PW8N-OS6465</t>
  </si>
  <si>
    <t>OS6465型号8年合作伙伴长期软件支持服务，包含24*7接入技术支持服务，软件版本更新和升级及服务页面接入服务</t>
  </si>
  <si>
    <t>PW10-OS6465</t>
  </si>
  <si>
    <t>OS6465型号10年合作伙伴长期软件支持服务，包含24*7接入技术支持服务，软件版本更新和升级及服务页面接入服务</t>
  </si>
  <si>
    <t>PPM1-OS6465</t>
  </si>
  <si>
    <t>OS6465系列1个月合作伙伴升级服务，包含24*7接入技术支持服务，软件版本更新和升级及服务页面接入服务，以及下一工作日硬件先行更换服务AVR。</t>
  </si>
  <si>
    <t>PP1N-OS6465</t>
  </si>
  <si>
    <t>OS6465系列1年合作伙伴升级服务（新购），包含24*7接入技术支持服务，软件版本更新和升级及服务页面接入服务，以及下一工作日硬件先行更换服务AVR。</t>
  </si>
  <si>
    <t>PP2N-OS6465</t>
  </si>
  <si>
    <t>OS6465系列2年合作伙伴升级服务（新购），包含24*7接入技术支持服务，软件版本更新和升级及服务页面接入服务，以及下一工作日硬件先行更换服务AVR。</t>
  </si>
  <si>
    <t>PP3N-OS6465</t>
  </si>
  <si>
    <t>OS6465系列3年合作伙伴升级服务（新购），包含24*7接入技术支持服务，软件版本更新和升级及服务页面接入服务，以及下一工作日硬件先行更换服务AVR。</t>
  </si>
  <si>
    <t>PP5N-OS6465</t>
  </si>
  <si>
    <t>OS6465系列5年合作伙伴升级服务（新购），包含24*7接入技术支持服务，软件版本更新和升级及服务页面接入服务，以及下一工作日硬件先行更换服务AVR。</t>
  </si>
  <si>
    <t>PP8N-OS6465</t>
  </si>
  <si>
    <t>OS6465型号8年合作伙伴长期增强技术支持服务，包含24*7接入技术支持服务，软件版本更新和升级及服务页面接入服务，以及下一工作日硬件先行更换服务AVR。</t>
  </si>
  <si>
    <t>PP10-OS6465</t>
  </si>
  <si>
    <t>OS6465型号10年合作伙伴长期增强技术支持服务，包含24*7接入技术支持服务，软件版本更新和升级及服务页面接入服务，以及下一工作日硬件先行更换服务AVR。</t>
  </si>
  <si>
    <t>OS6450 Partner Support</t>
  </si>
  <si>
    <t>PPM1-OS6450-10</t>
  </si>
  <si>
    <t>OS6450 10端口系列1个月合作伙伴升级服务，包含24*7接入技术支持服务，软件版本更新和升级及服务页面接入服务，以及下一工作日硬件先行更换服务AVR。</t>
  </si>
  <si>
    <t>PPM1-OS6450</t>
  </si>
  <si>
    <t>OS6450 24/48端口系列1个月合作伙伴升级服务，包含24*7接入技术支持服务，软件版本更新和升级及服务页面接入服务，以及下一工作日硬件先行更换服务AVR。</t>
  </si>
  <si>
    <t>PWM1-OS6450-10</t>
  </si>
  <si>
    <t>OS6450 10端口系列1个月合作伙伴软件支持服务，包含24*7接入技术支持服务，软件版本更新和升级及服务页面接入服务</t>
  </si>
  <si>
    <t>PWM1-OS6450</t>
  </si>
  <si>
    <t>OS6450 24/48端口系列1个月合作伙伴软件支持服务，包含24*7接入技术支持服务，软件版本更新和升级及服务页面接入服务</t>
  </si>
  <si>
    <t>PP1N-OS6450-10</t>
  </si>
  <si>
    <t>OS6450 10端口系列1年合作伙伴升级服务，包含24*7接入技术支持服务，软件版本更新和升级及服务页面接入服务，以及下一工作日硬件先行更换服务AVR。</t>
  </si>
  <si>
    <t>PW1N-OS6450-10</t>
  </si>
  <si>
    <t>OS6450 10端口系列1年合作伙伴软件支持服务，包含24*7接入技术支持服务，软件版本更新和升级及服务页面接入服务</t>
  </si>
  <si>
    <t>OmniSwitch 6360 PoE Chassis</t>
  </si>
  <si>
    <t>OS6360-P48</t>
  </si>
  <si>
    <t>千兆以太网固定配置机箱，1U规格， 48个RJ-45 PoE 10/100/1G BaseT，2个固定1GBase-T/SFP Combo端口，2个固定SFP+（1G/10G）上行或堆叠端口。内置交流电源（350W POE预算），包含指定国家电源线、用户手册、安装在19”机架上所需的硬件。</t>
  </si>
  <si>
    <t>OS6360-P24</t>
  </si>
  <si>
    <t>千兆以太网固定配置机箱，1U规格，24个RJ-45 POE 10/100/1G BaseT，2个固定1GBase-T/SFP Combo端口，2个固定SFP+（1G/10G）上行或堆叠端口。内置交流电源（180W POE预算），包含指定国家电源线、用户手册、安装在19”机架上所需的硬件。</t>
  </si>
  <si>
    <t>OS6360-P10</t>
  </si>
  <si>
    <t>千兆以太网固定配置机箱，1U规格，8个RJ-45 POE 10/100/1G BaseT，2个固定1GBase-T端口，2个固定SFP上行口。内置交流电源（120W POE预算），包含指定国家电源线，19英寸机架安装组件需单独订购</t>
  </si>
  <si>
    <t>仅用于海外项目销售</t>
  </si>
  <si>
    <t>OS6360-P24X</t>
  </si>
  <si>
    <t>千兆以太网固定配置机箱，1U规格，24个RJ-45 POE 10/100/1G BaseT，2个固定10GBase-T/10G SFP+ Combo端口，2个固定SFP+（1G）上行或10G堆叠端口。内置交流电源（380W POE预算），包含指定国家电源线、用户手册、安装在19”机架上所需的硬件。</t>
  </si>
  <si>
    <t>OS6360-P48X</t>
  </si>
  <si>
    <t>千兆以太网固定配置机箱，1U规格， 48个RJ-45 PoE 10/100/1G BaseT，2个固定10GBase-T/10G SFP+ Combo端口，2个固定SFP+（1G）上行或10G堆叠端口。内置交流电源（760W POE预算），包含指定国家电源线、用户手册、安装在19”机架上所需的硬件。</t>
  </si>
  <si>
    <t>OS6360-PH24</t>
  </si>
  <si>
    <t>千兆以太网固定配置机箱，1U规格，24个RJ-45 POE 10/100/1G BaseT，2个固定1GBase-T/SFP Combo端口，2个固定SFP+（1G）上行或10G堆叠端口。内置交流电源（380W POE预算），包含指定国家电源线、用户手册、安装在19”机架上所需的硬件。</t>
  </si>
  <si>
    <t>OS6360-PH48</t>
  </si>
  <si>
    <t>千兆以太网固定配置机箱，1U规格，46个RJ-45 POE 10/100/1G BaseT，2 个RJ-45 PoE 1G/2.5G BaseT，2个固定1GBase-T/SFP Combo端口，2个固定SFP+（1G）上行或10G堆叠端口。内置交流电源（760W POE预算），包含指定国家电源线、用户手册、安装在19”机架上所需的硬件。</t>
  </si>
  <si>
    <t>OmniSwitch 6360 non-PoE Chassis</t>
  </si>
  <si>
    <t>OS6360-48</t>
  </si>
  <si>
    <t>千兆以太网固定配置机箱，1U规格， 48个RJ-45 10/100/1G BaseT，2个固定1GBase-T/SFP Combo端口，2个固定SFP+（1G/10G）上行或堆叠端口。内置交流电源，包含指定国家电源线、用户手册、安装在19”机架上所需的硬件。</t>
  </si>
  <si>
    <t>OS6360-24</t>
  </si>
  <si>
    <t>千兆以太网固定配置机箱，1U规格，24个RJ-45  10/100/1G BaseT，2个固定1GBase-T/SFP Combo端口，2个固定SFP+（1G/10G）上行或堆叠端口。内置交流电源，包含指定国家电源线、用户手册、安装在19”机架上所需的硬件。</t>
  </si>
  <si>
    <t>OS6360-10</t>
  </si>
  <si>
    <t>千兆以太网固定配置机箱，1U规格，8个RJ-45 10/100/1G BaseT，2个固定1GBase-T端口，2个固定SFP上行口。内置交流电源，包含指定国家电源线，19英寸机架安装组件需单独订购</t>
  </si>
  <si>
    <t>OmniSwitch 6360 Accessories</t>
  </si>
  <si>
    <t>OS6360-CBL-1M</t>
  </si>
  <si>
    <t xml:space="preserve">1 米 10Gbs SFP+ 直接堆叠电缆，用于 OS6360 24 和 48 端口型号  </t>
  </si>
  <si>
    <t>OS6360-CBL-3M</t>
  </si>
  <si>
    <t xml:space="preserve">3 米 10Gbs SFP+ 直接堆叠电缆，用于 OS6360 24 和 48 端口型号  </t>
  </si>
  <si>
    <t>OS6360-CBL-60CM</t>
  </si>
  <si>
    <t xml:space="preserve">60cm 10Gbs SFP+ 直接堆叠电缆，用于 OS6360 24 和 48 端口型号  </t>
  </si>
  <si>
    <t>OS6360-RM-19-L</t>
  </si>
  <si>
    <t>适用于OS6360-10/P10的19英寸机柜安装组件。</t>
  </si>
  <si>
    <t>OS6360-SW-PERF</t>
  </si>
  <si>
    <t xml:space="preserve">性能软件许可，支持将OS6360-PH24或者OS6360-PH48型号的2个RJ45/SFP+组合端口升级为10G速度。 </t>
  </si>
  <si>
    <t>OS6360-WALL-MNT</t>
  </si>
  <si>
    <t>适用于OS6360-10/P10的19墙面安装组件。包含可用于在墙面安装1台OS6360-10/P10的通用支架和组件。</t>
  </si>
  <si>
    <t>OmniSwitch 6360 Partner Support</t>
  </si>
  <si>
    <t>PW3N-OS6360</t>
  </si>
  <si>
    <t>OS6360 24/48端口系列3年合作伙伴软件支持服务，包含24*7接入技术支持服务，软件版本更新和升级及服务页面接入服务</t>
  </si>
  <si>
    <t>PW5N-OS6360</t>
  </si>
  <si>
    <t>OS6360 24/48端口系列5年合作伙伴软件支持服务，包含24*7接入技术支持服务，软件版本更新和升级及服务页面接入服务</t>
  </si>
  <si>
    <t>PP1N-OS6360</t>
  </si>
  <si>
    <t>OS6360 24/48端口系列1年合作伙伴升级服务，包含24*7接入技术支持服务，软件版本更新和升级及服务页面接入服务，以及下一工作日硬件先行更换服务AVR。</t>
  </si>
  <si>
    <t>PP3N-OS6360</t>
  </si>
  <si>
    <t>OS6360 24/48端口系列3年合作伙伴升级服务，包含24*7接入技术支持服务，软件版本更新和升级及服务页面接入服务，以及下一工作日硬件先行更换服务AVR。</t>
  </si>
  <si>
    <t>PP5N-OS6360</t>
  </si>
  <si>
    <t>OS6360 24/48端口系列5年合作伙伴升级服务，包含24*7接入技术支持服务，软件版本更新和升级及服务页面接入服务，接入以及下一工作日硬件先行更换服务AVR。</t>
  </si>
  <si>
    <t>OmniSwitch 6360-10 Partner Support</t>
  </si>
  <si>
    <t>PW3N-OS6360-10</t>
  </si>
  <si>
    <t>OS6360 10端口系列3年合作伙伴软件支持服务，包含24*7接入技术支持服务，软件版本更新和升级及服务页面接入服务</t>
  </si>
  <si>
    <t>PW5N-OS6360-10</t>
  </si>
  <si>
    <t>OS6360 10端口系列5年合作伙伴软件支持服务，包含24*7接入技术支持服务，软件版本更新和升级及服务页面接入服务</t>
  </si>
  <si>
    <t>PP1N-OS6360-10</t>
  </si>
  <si>
    <t>OS6360 10端口系列1年合作伙伴升级服务，包含24*7接入技术支持服务，软件版本更新和升级及服务页面接入服务，以及下一工作日硬件先行更换服务AVR。</t>
  </si>
  <si>
    <t>PP3N-OS6360-10</t>
  </si>
  <si>
    <t>OS6360 10端口系列3年合作伙伴升级服务，包含24*7接入技术支持服务，软件版本更新和升级及服务页面接入服务，以及下一工作日硬件先行更换服务AVR。</t>
  </si>
  <si>
    <t>PP5N-OS6360-10</t>
  </si>
  <si>
    <t>OS6360 10端口系列5年合作伙伴升级服务，包含24*7接入技术支持服务，软件版本更新和升级及服务页面接入服务，以及下一工作日硬件先行更换服务AVR。</t>
  </si>
  <si>
    <t>PPM1-OS6360-10</t>
  </si>
  <si>
    <t>OS6360 10端口系列1个月合作伙伴升级服务，包含24*7接入技术支持服务，软件版本更新和升级及服务页面接入服务，以及下一工作日硬件先行更换服务AVR。</t>
  </si>
  <si>
    <t>PPM1-OS6360</t>
  </si>
  <si>
    <t>OS6360 24/48端口系列1个月合作伙伴升级服务，包含24*7接入技术支持服务，软件版本更新和升级及服务页面接入服务，以及下一工作日硬件先行更换服务AVR。</t>
  </si>
  <si>
    <t>PWM1-OS6360-10</t>
  </si>
  <si>
    <t>OS6360 10端口系列1个月合作伙伴软件支持服务，包含24*7接入技术支持服务，软件版本更新和升级及服务页面接入服务</t>
  </si>
  <si>
    <t>PWM1-OS6360</t>
  </si>
  <si>
    <t>OS6360 24/48端口系列1个月合作伙伴软件支持服务，包含24*7接入技术支持服务，软件版本更新和升级及服务页面接入服务</t>
  </si>
  <si>
    <t>PW1N-OS6360</t>
  </si>
  <si>
    <t>OS6360 24/48端口系列1年合作伙伴软件支持服务，包含24*7接入技术支持服务，软件版本更新和升级及服务页面接入服务</t>
  </si>
  <si>
    <t>PP2N-OS6360</t>
  </si>
  <si>
    <t>OS6360 24/48端口系列2年合作伙伴升级服务，包含24*7接入技术支持服务，软件版本更新和升级及服务页面接入服务，以及下一工作日硬件先行更换服务AVR。</t>
  </si>
  <si>
    <t>PW2N-OS6360</t>
  </si>
  <si>
    <t>OS6360 24/48端口系列2年合作伙伴软件支持服务，包含24*7接入技术支持服务，软件版本更新和升级及服务页面接入服务</t>
  </si>
  <si>
    <t>PW1N-OS6360-10</t>
  </si>
  <si>
    <t>OS6360 10端口系列1年合作伙伴软件支持服务，包含24*7接入技术支持服务，软件版本更新和升级及服务页面接入服务</t>
  </si>
  <si>
    <t>PP2N-OS6360-10</t>
  </si>
  <si>
    <t>OS6360 10端口系列2年合作伙伴升级服务，包含24*7接入技术支持服务，软件版本更新和升级及服务页面接入服务，以及下一工作日硬件先行更换服务AVR。</t>
  </si>
  <si>
    <t>PW2N-OS6360-10</t>
  </si>
  <si>
    <t>OS6360 10端口系列2年合作伙伴软件支持服务，包含24*7接入技术支持服务，软件版本更新和升级及服务页面接入服务</t>
  </si>
  <si>
    <t>PP10-OS6360</t>
  </si>
  <si>
    <t>OS6360 24/48端口系列10年合作伙伴长期增强技术支持服务，包含24*7接入技术支持服务，软件版本更新和升级及服务页面接入服务，以及下一工作日硬件先行更换服务AVR。</t>
  </si>
  <si>
    <t>PP10-OS6360-10</t>
  </si>
  <si>
    <t>OS6360 10端口系列10年合作伙伴长期增强技术支持服务，包含24*7接入技术支持服务，软件版本更新和升级及服务页面接入服务，以及下一工作日硬件先行更换服务AVR。</t>
  </si>
  <si>
    <t>PP8N-OS6360</t>
  </si>
  <si>
    <t>OS6360 24/48端口系列8年合作伙伴长期增强技术支持服务，包含24*7接入技术支持服务，软件版本更新和升级及服务页面接入服务，以及下一工作日硬件先行更换服务AVR。</t>
  </si>
  <si>
    <t>PP8N-OS6360-10</t>
  </si>
  <si>
    <t>OS6360 10端口系列8年合作伙伴长期增强技术支持服务，包含24*7接入技术支持服务，软件版本更新和升级及服务页面接入服务，以及下一工作日硬件先行更换服务AVR。</t>
  </si>
  <si>
    <t>PW10-OS6360</t>
  </si>
  <si>
    <t>OS6360 24/48端口系列10年合作伙伴长期软件支持服务，包含24*7接入技术支持服务，软件版本更新和升级及服务页面接入服务</t>
  </si>
  <si>
    <t>PW10-OS6360-10</t>
  </si>
  <si>
    <t>OS6360 10端口系列10年合作伙伴长期软件支持服务，包含24*7接入技术支持服务，软件版本更新和升级及服务页面接入服务</t>
  </si>
  <si>
    <t>PW8N-OS6360</t>
  </si>
  <si>
    <t>OS6360 24/48端口系列8年合作伙伴长期软件支持服务，包含24*7接入技术支持服务，软件版本更新和升级及服务页面接入服务</t>
  </si>
  <si>
    <t>PW8N-OS6360-10</t>
  </si>
  <si>
    <t>OS6360 10端口系列8年合作伙伴长期软件支持服务，包含24*7接入技术支持服务，软件版本更新和升级及服务页面接入服务</t>
  </si>
  <si>
    <t>Partner Support Software Subscription</t>
  </si>
  <si>
    <t>PPM1-OS6350-10</t>
  </si>
  <si>
    <t>OS6350 10端口系列1个月合作伙伴升级服务，包含24*7接入技术支持服务，软件版本更新和升级及服务页面接入服务，以及下一工作日硬件先行更换服务AVR。</t>
  </si>
  <si>
    <t>PPM1-OS6350</t>
  </si>
  <si>
    <t>OS6350 24/48端口系列1个月合作伙伴升级服务，包含24*7接入技术支持服务，软件版本更新和升级及服务页面接入服务，以及下一工作日硬件先行更换服务AVR。</t>
  </si>
  <si>
    <t>PWM1-OS6350-10</t>
  </si>
  <si>
    <t>OS6350 10端口系列1个月合作伙伴软件支持服务，包含24*7接入技术支持服务，软件版本更新和升级及服务页面接入服务，包含针对可选软件的服务。</t>
  </si>
  <si>
    <t>PWM1-OS6350</t>
  </si>
  <si>
    <t>OS6350 24/48端口系列1个月合作伙伴软件支持服务，包含24*7接入技术支持服务，软件版本更新和升级及服务页面接入服务，包含针对可选软件的服务。</t>
  </si>
  <si>
    <t>PP1N-OS6350-10</t>
  </si>
  <si>
    <t>OS6350 10端口系列1年合作伙伴升级服务，包含24*7接入技术支持服务，软件版本更新和升级及服务页面接入服务，以及下一工作日硬件先行更换服务AVR。</t>
  </si>
  <si>
    <t>EOS</t>
  </si>
  <si>
    <t>PP1N-OS6350</t>
  </si>
  <si>
    <t>OS6350 24/48端口系列1年合作伙伴升级服务，包含24*7接入技术支持服务，软件版本更新和升级及服务页面接入服务，以及下一工作日硬件先行更换服务AVR。</t>
  </si>
  <si>
    <t>PP2N-OS6350-10</t>
  </si>
  <si>
    <t>OS6350 10端口系列2年合作伙伴升级服务，包含24*7接入技术支持服务，软件版本更新和升级及服务页面接入服务，以及下一工作日硬件先行更换服务AVR。</t>
  </si>
  <si>
    <t>PP2N-OS6350</t>
  </si>
  <si>
    <t>OS6350 24/48端口系列2年合作伙伴升级服务，包含24*7接入技术支持服务，软件版本更新和升级及服务页面接入服务，以及下一工作日硬件先行更换服务AVR。</t>
  </si>
  <si>
    <t>PW1N-OS6350-10</t>
  </si>
  <si>
    <t>OS6350 10端口系列1年合作伙伴软件支持服务，包含24*7接入技术支持服务，软件版本更新和升级及服务页面接入服务，包含针对可选软件的服务。</t>
  </si>
  <si>
    <t>PW1N-OS6350</t>
  </si>
  <si>
    <t>OS6350 24/48端口系列1年合作伙伴软件支持服务，包含24*7接入技术支持服务，软件版本更新和升级及服务页面接入服务，包含针对可选软件的服务。</t>
  </si>
  <si>
    <t>PW2N-OS6350-10</t>
  </si>
  <si>
    <t>OS6350 10端口系列2年合作伙伴软件支持服务，包含24*7接入技术支持服务，软件版本更新和升级及服务页面接入服务，包含针对可选软件的服务。</t>
  </si>
  <si>
    <t>PW2N-OS6350</t>
  </si>
  <si>
    <t>OS6350 24/48端口系列2年合作伙伴软件支持服务，包含24*7接入技术支持服务，软件版本更新和升级及服务页面接入服务，包含针对可选软件的服务。</t>
  </si>
  <si>
    <t>Partner Support Plus Subscription</t>
  </si>
  <si>
    <t>PPM1-OS6250</t>
  </si>
  <si>
    <t>OS6250系列1个月合作伙伴升级服务，包含24*7接入技术支持服务，软件版本更新和升级及服务页面接入服务，以及下一工作日硬件先行更换服务AVR。</t>
  </si>
  <si>
    <t>Partner Support Subscription</t>
  </si>
  <si>
    <t>PW1N-OS6250</t>
  </si>
  <si>
    <t>OS6250系列1年合作伙伴软件支持服务，包含24*7接入技术支持服务，软件版本更新和升级及服务页面接入服务，包含针对可选软件的服务。</t>
  </si>
  <si>
    <t>PWM1-OS6250</t>
  </si>
  <si>
    <t>OS6250系列1月合作伙伴软件支持服务，包含24*7接入技术支持服务，软件版本更新和升级及服务页面接入服务，包含针对可选软件的服务。</t>
  </si>
  <si>
    <t>OmniSwitch 2260  non-PoE Chassis</t>
  </si>
  <si>
    <t>OS2260-10</t>
  </si>
  <si>
    <t>千兆以太网固定配置机箱，8个RJ-45 10/100/1G BaseT，4个固定1G/10G SFP+上行端口，1U规格。内置30W交流电源，用户手册，19英寸机架安装组件需单独订购。电源线免费，但需单独配置</t>
  </si>
  <si>
    <t>OmniSwitch 2260 PoE Chassis</t>
  </si>
  <si>
    <t>OS2260-P10</t>
  </si>
  <si>
    <t>千兆以太网固定配置机箱，8个RJ-45 10/100/1G BaseT PoE端口，4个固定1G/10G SFP+上行端口，1U规格。内置120W交流电源，PoE输出总功率75W。包含用户手册,19英寸机架安装组件需单独订购。电源线免费，但需单独配置</t>
  </si>
  <si>
    <t>OS2260-24</t>
  </si>
  <si>
    <t>千兆以太网固定配置机箱，24个RJ-45 10/100/1G BaseT，4个固定1G SFP上行端口，1U规格。内置65W交流电源，包含用户手册及19英寸机架安装套件。电源线免费，但需单独配置</t>
  </si>
  <si>
    <t>OS2260-48</t>
  </si>
  <si>
    <t>千兆以太网固定配置机箱，48个RJ-45 10/100/1G BaseT，6个固定1G SFP上行端口，1U规格。内置65W交流电源，包含用户手册及19英寸机架安装套件。电源线免费，但需单独配置</t>
  </si>
  <si>
    <t>OS2260-P24X</t>
  </si>
  <si>
    <t>千兆以太网固定配置机箱，24个RJ-45 10/100/1G BaseT PoE端口，2个固定1G SFP上行端口，2个固定10G SFP+上行端口，1U规格。内置550W交流电源，PoE输出总功率370W。包含用户手册及19英寸机架安装套件。电源线免费，但需单独配置</t>
  </si>
  <si>
    <t>OS2260-P48X</t>
  </si>
  <si>
    <t>千兆以太网固定配置机箱，48个RJ-45 10/100/1G BaseT PoE端口，4个固定1G SFP上行端口，2个固定10G SFP+上行端口，1U规格。内置950W交流电源，PoE输出总功率740W。包含用户手册及19英寸机架安装套件。电源线免费，但需单独配置</t>
  </si>
  <si>
    <t>OmniSwitch 2360 non-PoE Chassis</t>
  </si>
  <si>
    <t>OS2360-24</t>
  </si>
  <si>
    <t>千兆以太网固定配置机箱，24个RJ-45 10/100/1G BaseT，2个固定10G SFP+上行端口，2个固定10G SFP+上行端口或用作10G堆叠端口，1U规格，内置65W交流电源，包含用户手册及19英寸机架安装套件。电源线免费，但需单独配置</t>
  </si>
  <si>
    <t>OmniSwitch 2360  PoE Chassis</t>
  </si>
  <si>
    <t>OS2360-P24</t>
  </si>
  <si>
    <t>千兆以太网固定配置机箱，24个RJ-45 10/100/1G BaseT PoE端口，2个固定10G SFP+上行端口，2个固定10G SFP+上行端口或用作10G堆叠端口，1U规格，内置260W交流电源，PoE输出总功率195W。包含用户手册及19英寸机架安装套件。电源线免费，但需单独配置</t>
  </si>
  <si>
    <t>OS2360-48</t>
  </si>
  <si>
    <t>千兆以太网固定配置机箱，48个RJ-45 10/100/1G BaseT，4个固定10G SFP+上行端口，2个固定10G SFP+上行端口或用作10G堆叠端口，1U规格，内置65W交流电源，包含用户手册及19英寸机架安装套件。电源线免费，但需单独配置</t>
  </si>
  <si>
    <t>OS2360-P48</t>
  </si>
  <si>
    <t>千兆以太网固定配置机箱，48个RJ-45 10/100/1G BaseT PoE端口，4个固定10G SFP+上行端口，2个固定10G SFP+上行端口或用作10G堆叠端口，1U规格，内置550W交流电源，PoE输出总功率370W。包含用户手册及19英寸机架安装套件。电源线免费，但需单独配置</t>
  </si>
  <si>
    <t>OS2360-P24X</t>
  </si>
  <si>
    <t>千兆以太网固定配置机箱，24个RJ-45 10/100/1G BaseT PoE端口，2个固定10G SFP+上行端口，2个固定10G SFP+上行端口或用作10G堆叠端口，1U规格，内置550W交流电源，PoE输出总功率370W。包含用户手册及19英寸机架安装套件。电源线免费，但需单独配置</t>
  </si>
  <si>
    <t>OS2360-P48X</t>
  </si>
  <si>
    <t>千兆以太网固定配置机箱，48个RJ-45 10/100/1G BaseT PoE端口，4个固定10G SFP+上行端口，2个固定10G SFP+上行端口或用作10G堆叠端口，1U规格，内置950W交流电源，PoE输出总功率740W。包含用户手册及19英寸机架安装套件。电源线免费，但需单独配置</t>
  </si>
  <si>
    <t>OS2360-U24X</t>
  </si>
  <si>
    <t>千兆以太网L3固定配置机箱，1U规格，24个100/1000 Base-X SFP端口、6个固定SFP+ (1G/10G) 端口。包含用户手册及19英寸机架安装套件。电源线免费，但需单独配置</t>
  </si>
  <si>
    <t>OS2360-U48X</t>
  </si>
  <si>
    <t>千兆以太网L3固定配置机箱，1U规格，48个100/1000 Base-X SFP端口、6个固定SFP+ (1G/10G) 端口。包含用户手册及19英寸机架安装套件。电源线免费，但需单独配置</t>
  </si>
  <si>
    <t>OS2360-P24M</t>
  </si>
  <si>
    <t>千兆以太网L3固定配置机箱，1U规格，24 RJ 45 PoE+ 10/100/1G/2.5G BaseT, 2 个RJ45 PoE+ 1G/2.5G/5G/10G 端口， 2个10G SFP+ 上行链路端口, 2个10G上线链路或 10G 堆叠端口。包括1个920W交流电源（POE输出总功率820W），冗余交流电源需要单独订购。电源线免费，但需单独配置。</t>
  </si>
  <si>
    <t>OmniSwitch 2360 Power Supplies</t>
  </si>
  <si>
    <t>模块化920W AC PoE 电源。 为一台OmniSwitch 2360-P24M交换机提供系统和PoE供电。 电源线免费，但需单独配置。</t>
  </si>
  <si>
    <t>OmniSwitch 2X60 Accessories</t>
  </si>
  <si>
    <t>OS2X60-SW-PERF</t>
  </si>
  <si>
    <t>OS2X60性能软件许可，将所有固定1G SFP端口升级到10G速率</t>
  </si>
  <si>
    <t>仅OS2260-24/P24/48/P48/P24X/P48X需要购买该许可后方可开启所有上行端口10G速率</t>
  </si>
  <si>
    <t>OmniSwitch 2X60 Cables</t>
  </si>
  <si>
    <t>PWR-CORD-2M-CN</t>
  </si>
  <si>
    <t>OS2X60中国标准电源线, 250VAC, 10A, 2.5M, 黑色</t>
  </si>
  <si>
    <t>OS2X60 系列出货时默认不包含电源线，在向 ALE 订购时，必须选择此单独订购的中国标准电源线，数量相同的交换机和主机，价格填写 0</t>
  </si>
  <si>
    <t>适用于OS2X60 的1米10Gbs SFP+直连堆叠线缆</t>
  </si>
  <si>
    <t>适用于OS2X60的3米10Gbs SFP+直连堆叠线缆</t>
  </si>
  <si>
    <t>SFP-10G-C60CM</t>
  </si>
  <si>
    <t>适用于OS2X60 的60厘米10Gbs SFP+直连堆叠线缆</t>
  </si>
  <si>
    <t>适用于OS2260-10/P10的19英寸机柜安装组件。</t>
  </si>
  <si>
    <t>适用于OS2260-10/P10的墙面安装组件。包含可用于在墙面安装1台OS2260-10/P10的通用支架和组件。</t>
  </si>
  <si>
    <t>PPM1-OS2200</t>
  </si>
  <si>
    <t>OS2220 系列1个月合作伙伴升级服务，包含24*7接入技术支持服务，软件版本更新和升级及服务页面接入服务，以及下一工作日硬件先行更换服务AVR。OS2220电源包含在硬件先行更换服务AVR中。</t>
  </si>
  <si>
    <t>PWM1-OS2200</t>
  </si>
  <si>
    <t>OS2220系列1个月合作伙伴软件支持服务（续保），包含24*7接入技术支持服务，软件版本更新和升级及服务页面接入服务</t>
  </si>
  <si>
    <t>PP1N-OS2200</t>
  </si>
  <si>
    <t>OS2220 系列1年合作伙伴升级服务，包含24*7接入技术支持服务，软件版本更新和升级及服务页面接入服务，以及下一工作日硬件先行更换服务AVR。OS2220电源包含在硬件先行更换服务AVR中。</t>
  </si>
  <si>
    <t>PP2N-OS2200</t>
  </si>
  <si>
    <t>OS2220 系列2年合作伙伴升级服务，包含24*7接入技术支持服务，软件版本更新和升级及服务页面接入服务，以及下一工作日硬件先行更换服务AVR。OS2220电源包含在硬件先行更换服务AVR中。</t>
  </si>
  <si>
    <t>PW1N-OS2200</t>
  </si>
  <si>
    <t>OS2220系列1年合作伙伴软件支持服务，包含24*7接入技术支持服务，软件版本更新和升级及服务页面接入服务</t>
  </si>
  <si>
    <t>PW2N-OS2200</t>
  </si>
  <si>
    <t>OS2220系列2年合作伙伴软件支持服务，包含24*7接入技术支持服务，软件版本更新和升级及服务页面接入服务</t>
  </si>
  <si>
    <t>OmniSwitch 2160  non-PoE Chassis</t>
  </si>
  <si>
    <t>OS2160-8</t>
  </si>
  <si>
    <t>千兆以太网固定配置机箱，8个RJ-45 10/100/1G BaseT，2个固定1G SFP上行端口。1U规格，内置交流电源，包含用户手册、电源线及19英寸机架安装套件。</t>
  </si>
  <si>
    <t>OmniSwitch 2160 PoE Chassis</t>
  </si>
  <si>
    <t>OS2160-P8</t>
  </si>
  <si>
    <t xml:space="preserve">千兆以太网固定配置机箱，8个RJ-45 10/100/1G BaseT PoE端口，2个固定1G SFP上行端口。1U规格，内置交流电源，PoE输出总功率150W。包含用户手册、电源线及19英寸机架安装套件。  </t>
  </si>
  <si>
    <t>OS2160-24</t>
  </si>
  <si>
    <t>千兆以太网固定配置机箱，24个RJ-45 10/100/1G BaseT，4个固定1G SFP上行端口。1U规格，内置交流电源，包含用户手册、电源线及19英寸机架安装套件。</t>
  </si>
  <si>
    <t>OS2160-P24</t>
  </si>
  <si>
    <t>千兆以太网固定配置机箱，24个RJ-45 10/100/1G BaseT PoE端口，4个固定1G SFP上行端口。1U规格，内置交流电源，PoE输出总功率280W。包含用户手册、电源线及19英寸机架安装套件。</t>
  </si>
  <si>
    <t>OmniSwitch 2560 non-PoE Chassis</t>
  </si>
  <si>
    <t>OS2560-24</t>
  </si>
  <si>
    <t>千兆以太网L3固定配置机箱，24个RJ-45 10/100/1G BaseT，8个固定10G SFP+上行端口或用作10G堆叠端口。1U规格，内置固定冗余交流电源，内置冗余风扇，包含用户手册、电源线及19英寸机架安装套件。</t>
  </si>
  <si>
    <t>OmniSwitch 2560  non-PoE Chassis</t>
  </si>
  <si>
    <t>OS2560-48</t>
  </si>
  <si>
    <t>千兆以太网L3固定配置机箱，48个RJ-45 10/100/1G BaseT，4个固定10G SFP+上行端口或用作10G堆叠端口。1U规格，默认配置可插拔冗余电源，内置冗余风扇，包含用户手册、电源线及19英寸机架安装套件。</t>
  </si>
  <si>
    <t>OmniSwitch 2560 PoE Chassis</t>
  </si>
  <si>
    <t>OS2560-P24V</t>
  </si>
  <si>
    <t>千兆以太网L3固定配置机箱，24个RJ-45 10/100/1G BaseT PoE端口，6个10/25G SFP28以太网接口。1U规格，内置固定冗余交流电源，PoE输出总功率720W。内置冗余风扇，包含用户手册、电源线及19英寸机架安装套件。</t>
  </si>
  <si>
    <t>OS2560-P48V</t>
  </si>
  <si>
    <t>千兆以太网L3固定配置机箱，48个RJ-45 10/100/1G BaseT PoE端口，6个10/25G SFP28以太网接口。1U规格，内置固定冗余交流电源，PoE输出总功率1440W。内置冗余风扇，包含用户手册、电源线及19英寸机架安装套件。</t>
  </si>
  <si>
    <t>OS2560-U48X</t>
  </si>
  <si>
    <t>千兆以太网L3固定配置机箱，48个100/1000Base-X SFP端口，4个固定10G SFP+上行端口或用作10G堆叠端口。1U规格，默认配置可插拔冗余电源，内置冗余风扇，包含用户手册、电源线及19英寸机架安装套件。</t>
  </si>
  <si>
    <t>OmniSwitch 2960 Chassis</t>
  </si>
  <si>
    <t>OS2960-X24C2</t>
  </si>
  <si>
    <t>10G以太网三层交换机，24个10GE SFP+端口，2个100GE QSFP28端口，QSFP28端口可设置为100GE/40GE/4x25GE/4x10GE。1U规格，默认配置可插拔冗余电源，内置冗余风扇，包含用户手册、电源线及19英寸机架安装套件。</t>
  </si>
  <si>
    <t>OS2960-X48C8</t>
  </si>
  <si>
    <t>10G以太网三层交换机，48个10GE SFP+端口，8个100GE QSFP28端口，QSFP28端口可设置为100GE/40GE/4x25GE/4x10GE。1U规格，默认配置可插拔冗余电源，内置冗余风扇，包含用户手册、电源线及19英寸机架安装套件。</t>
  </si>
  <si>
    <t>OS2960-D32</t>
  </si>
  <si>
    <t>400GE以太网三层交换机，提供32个400GE QSFP112 端口。1U规格，机箱包含双AC电源(1300W)，从前至后制冷，包含用户手册、电源线及19英寸机架安装套件。</t>
  </si>
  <si>
    <t>OS2960-C32</t>
  </si>
  <si>
    <t>100G以太网三层交换机，提供32个100GE QSFP28端口，QSFP28端口可设置为100GE/40GE/4x25GE/4x10GE。1U规格，默认配置可插拔冗余电源，内置冗余风扇，包含用户手册、电源线及19英寸机架安装套件。</t>
  </si>
  <si>
    <t>OS2960-V24C4</t>
  </si>
  <si>
    <t>25G以太网三层交换机，提供24个10/25G SFP28 端口，4个100GE QSFP28端口，QSFP28端口可设置为100GE/40GE/4x25GE/4x10GE。1U规格，默认配置可插拔冗余电源，内置冗余风扇，包含用户手册、电源线及19英寸机架安装套件。</t>
  </si>
  <si>
    <t>OS2960-V48C8</t>
  </si>
  <si>
    <t>25G以太网三层交换机，提供48个10/25G SFP28 端口，8个100GE QSFP28端口，QSFP28端口可设置为100GE/40GE/4x25GE/4x10GE。1U规格，默认配置可插拔冗余电源，内置冗余风扇，包含用户手册、电源线及19英寸机架安装套件。</t>
  </si>
  <si>
    <t>200 Gigabit Ethernet Transceivers (QSFP56)</t>
  </si>
  <si>
    <t>QSFP-200G-A20M</t>
  </si>
  <si>
    <t>200 Gigabit QSFP56 直连光纤. 20 米.</t>
  </si>
  <si>
    <t>QSFP-200G-C1M</t>
  </si>
  <si>
    <t>200G直连铜缆（1m，QSFP56）</t>
  </si>
  <si>
    <t>QSFP-200G-C3M</t>
  </si>
  <si>
    <t>200G直连铜缆（3m，QSFP56）</t>
  </si>
  <si>
    <t>QSFP-200G-C50CM</t>
  </si>
  <si>
    <t>200G直连铜缆（50cm，QSFP56）</t>
  </si>
  <si>
    <t>QSFP-200G-FR4</t>
  </si>
  <si>
    <t>200G 光纤收发器QSFP56，基于FR4标准最大链路长度可达2公里</t>
  </si>
  <si>
    <t>QSFP-200G-SR4</t>
  </si>
  <si>
    <t>200G QSFP56光纤收发器，MPO-12型接头，在OM3多模光纤上最大链路长度为70米，在OM4多模光纤上可达100米。</t>
  </si>
  <si>
    <t>400 Gigabit Ethernet Transceivers (QSFP-DD)</t>
  </si>
  <si>
    <t>QSFP-400G-SR4.2</t>
  </si>
  <si>
    <t>400G QSFP-DD SR4.2 光纤收发器，MPO-12接口。支持最大传输距离 100 米。支持 4x 拆分至 QSFP-100G-SR1.2。需要最低 AOS 8.10R4 版本。</t>
  </si>
  <si>
    <t>QSFPD-400-C50CM</t>
  </si>
  <si>
    <t>400G QSFP-DD 无源直连线缆（50cm）</t>
  </si>
  <si>
    <t>QSFPD-400G-C1M</t>
  </si>
  <si>
    <t>400G QSFP-DD 无源直连线缆（1m）</t>
  </si>
  <si>
    <t>QSFPD-400G-C3M</t>
  </si>
  <si>
    <t>400G QSFP-DD 无源直连线缆（3m）</t>
  </si>
  <si>
    <t>QSFPD-400G-A10M</t>
  </si>
  <si>
    <t>400G QSFP-DD 有源光缆（10m）</t>
  </si>
  <si>
    <t xml:space="preserve">QSFPD-400G-DR4 </t>
  </si>
  <si>
    <t>400G QSFP-DD 收发器，MPO-12接口，支持最大传输距离500米</t>
  </si>
  <si>
    <t>QSFPD-400G-FR4</t>
  </si>
  <si>
    <t>400G QSFP-DD 收发器，LC接口，支持最大传输距离2公里</t>
  </si>
  <si>
    <t>QSFPD-400G-LR4</t>
  </si>
  <si>
    <t>400G QSFP-DD 收发器，LC接口，支持最大传输距离10公里</t>
  </si>
  <si>
    <t>QSFP-2XQ200-C1M</t>
  </si>
  <si>
    <t>400G QSFP-DD 转 2 x 200G QSFP56 无源直连线缆（1m）</t>
  </si>
  <si>
    <t>QSFP-2XQ200-C3M</t>
  </si>
  <si>
    <t>400G QSFP-DD 转 2 x 200G QSFP56 无源直连线缆（3m）</t>
  </si>
  <si>
    <t>QSFPD-2Q100-C1M</t>
  </si>
  <si>
    <t>200GBASE-CR4 QSFP-DD 转 2 x 100GBASE-CR2 QSFP 双轴铜缆（1m）</t>
  </si>
  <si>
    <t>QSFPD-2Q100-C3M</t>
  </si>
  <si>
    <t>200GBASE-CR4 QSFP-DD 转 2 x 100GBASE-CR2 QSFP 双轴铜缆（3m）</t>
  </si>
  <si>
    <t>QSFP-2XQ100-C1M</t>
  </si>
  <si>
    <t>200G QSFP56 转 2 x 100G QSFP56 无源直连线缆（1m）</t>
  </si>
  <si>
    <t>QSFP-2XQ100-C3M</t>
  </si>
  <si>
    <t>200G QSFP56 转 2 x 100G QSFP56 无源直连线缆（3m）</t>
  </si>
  <si>
    <t>100 FX Ethernet Transceivers</t>
  </si>
  <si>
    <t>ISFP-100-MM</t>
  </si>
  <si>
    <t>100 BaseFX工业级SFP光纤收发器，LC接头，专为多模光纤而设计。</t>
  </si>
  <si>
    <t>ISFP-100-SM15</t>
  </si>
  <si>
    <t>100 BaseFX工业级SFP光纤收发器，LC接头，专为传输可达15 KM的多模光纤而设计。</t>
  </si>
  <si>
    <t>SFP-100-BXLC-D</t>
  </si>
  <si>
    <t xml:space="preserve"> 100Base-Bx SFP光纤收发器，LC接头，专为传输可达20KM单模光纤而设计。通常用于总部（OLT）。发波长为1550nm，收波长为1310nm。</t>
  </si>
  <si>
    <t>SFP-100-BXLC-U</t>
  </si>
  <si>
    <t xml:space="preserve"> 100Base-Bx SFP光纤收发器，LC接头，专为传输可达20KM单模光纤而设计。通常用于分支（OLT）。发波长为1550nm，收波长为1310nm。</t>
  </si>
  <si>
    <t>SFP-100-LC-MM</t>
  </si>
  <si>
    <t>100Base-FX SFP 光纤收发器，LC接头，专为多模光纤而设计。</t>
  </si>
  <si>
    <t>SFP-100-LC-SM15</t>
  </si>
  <si>
    <t>100Base-FX SFP 光纤收发器，LC接头，专为传输可达15KM单模光纤而设计。</t>
  </si>
  <si>
    <t>Dual Speed Ethernet Transceivers (SFP MSA)</t>
  </si>
  <si>
    <t>SFP-DUAL-BX-D</t>
  </si>
  <si>
    <t xml:space="preserve"> 100Base-BXD /1000Base-BXD SFP 光纤收发器，双LC接头，专为传输可达10KM单模管钱而设计，发波长为1550nm，收波长为1310nm。</t>
  </si>
  <si>
    <t>SFP-DUAL-BX-U</t>
  </si>
  <si>
    <t xml:space="preserve"> 100Base-BXD /1000Base-BXD SFP 光纤收发器，双LC接头，专为传输可达10KM单模管钱而设计，发波长为1310nm，收波长为1550nm。</t>
  </si>
  <si>
    <t>Gigabit Ethernet Transceivers (SFP MSA)</t>
  </si>
  <si>
    <t>ISFP-GIG-BX-D</t>
  </si>
  <si>
    <t>1000Base-BX 工业级千兆以太网光纤收发器（SFP MSA）, 支持单模单芯10 Km.发1490nm波长，收1310nm波长</t>
  </si>
  <si>
    <t>ISFP-GIG-BX-U</t>
  </si>
  <si>
    <t>1000Base-BX 工业级千兆以太网光纤收发器（SFP MSA）, 支持单模单芯10 Km.发1310nm波长，收1490nm波长</t>
  </si>
  <si>
    <t>ISFP-GIG-LH40</t>
  </si>
  <si>
    <t>1000 BaseLH 工业级千兆以太网光纤收发器（SFP MSA）, 支持1310 n m波长单模光纤，LC 接头，9/125um SMF可传输40 Km.</t>
  </si>
  <si>
    <t>ISFP-GIG-LH70</t>
  </si>
  <si>
    <t>1000 BaseLH 工业级千兆以太网可选光纤收发器（SFP MSA）, 支持1550 n m 波长单模光纤，LC 接头，9/125 um SMF可传输 7 0 Km.</t>
  </si>
  <si>
    <t>ISFP-GIG-LX</t>
  </si>
  <si>
    <t>1 000 BaseLX 工业级千兆以太网可选光纤收发器（SFP MSA）, 支持1310 n m 波长单模光纤，LC 接头，9/125 um SMF可传输10 Km.</t>
  </si>
  <si>
    <t>ISFP-GIG-SX</t>
  </si>
  <si>
    <t>1000 BaseSX 工业级千兆以太网可选光纤收发器（SFP MSA）, 支持850 n m 波长多模光纤，LC 接头，62.5 /125 um MMF可传输10 Km或50/125 um MMF可传输550m.</t>
  </si>
  <si>
    <t>ISFP-GIG-T</t>
  </si>
  <si>
    <t>1000Base-T工业级千兆以太网可选光纤收发器（SFP MSA），支持5,5E和6类铜缆，可达100m。SFP支持10/100/1000Mb/s和全双工模式</t>
  </si>
  <si>
    <t>10 Gigabit Ethernet Transceivers (SFP+ MSA)</t>
  </si>
  <si>
    <t>ISFP-10G-SR</t>
  </si>
  <si>
    <t>10 Gigabit 工业级千兆以太网可选光纤收发器（SFP+）, 支持多模光纤，LC 接头，可传输300m.</t>
  </si>
  <si>
    <t>ISFP-10G-ZR</t>
  </si>
  <si>
    <t>10 Gigabit 工业级千兆以太网可选光纤收发器（SFP+）, 支持1550nm 波长单模光纤，LC 接头，可传输80km.</t>
  </si>
  <si>
    <t>SFP-GIG-BX-D</t>
  </si>
  <si>
    <t>1000Base-BX 千兆以太光纤收发器（SFP MSA） ，专为单模传输距离10km光纤收发器而设计，双向 LC接头，发1490nm波长，收1310nm波长。</t>
  </si>
  <si>
    <t>SFP-GIG-BX-D20</t>
  </si>
  <si>
    <t>1000Base-BX 千兆以太光纤收发器（SFP MSA） ，专为单模传输距离20km光纤收发器而设计，双 LC接头，发1490nm波长，收1310nm波长。</t>
  </si>
  <si>
    <t>SFP-GIG-BX-D40</t>
  </si>
  <si>
    <t>1000Base-BX 千兆以太光纤收发器（SFP MSA） ，专为单模传输距离40km光纤收发器而设计，双向 LC接头，发1490nm波长，收1310nm波长。</t>
  </si>
  <si>
    <t>SFP-GIG-BX-U</t>
  </si>
  <si>
    <t>1000Base-BX 千兆以太光纤收发器（SFP MSA） ，专为单模传输距离10km光纤收发器而设计，双LC接头，发1310nm波长，收1490nm波长。</t>
  </si>
  <si>
    <t>SFP-GIG-BX-U20</t>
  </si>
  <si>
    <t>1000Base-BX 千兆以太光纤收发器（SFP MSA） ，专为单模传输距离20km光纤收发器而设计，双 LC接头，发1310nm波长，收1490nm波长。</t>
  </si>
  <si>
    <t>SFP-GIG-BX-U40</t>
  </si>
  <si>
    <t>1000Base-BX 千兆以太光纤收发器（SFP MSA） ，专为单模传输距离40km光纤收发器而设计，双 LC接头，发1310nm波长，收1490nm波长。</t>
  </si>
  <si>
    <t>SFP-GIG-LH40</t>
  </si>
  <si>
    <t>1000Base-LH 千兆以太网光纤收发器 (SFP MSA). 支持波长为1310nm以上单模光纤，LC接头。 9/125 µm SMF传输距离40Km。</t>
  </si>
  <si>
    <t>SFP-GIG-LH70</t>
  </si>
  <si>
    <t>1000Base-LH 千兆以太网光纤收发器 (SFP MSA). 支持波长为1550nm以上单模光纤，LC接头。 9/125 µm SMF传输距离70Km。</t>
  </si>
  <si>
    <t>SFP-GIG-LX</t>
  </si>
  <si>
    <t>1000Base-LX千兆以太网光纤收发器 (SFP MSA). 支持波长为1310nm以上单模光纤，LC接头。 9/125 µm SMF传输距离10Km。</t>
  </si>
  <si>
    <t>SFP-GIG-SX</t>
  </si>
  <si>
    <t>1000Base-SX 千兆以太网光纤收发器 (SFP MSA). 支持波长为850nm以上多模光纤，LC接头。 62.5/125 µm SMF传输距离300m，50/125 µm SMF传输距离550m。</t>
  </si>
  <si>
    <t>SFP-GIG-T</t>
  </si>
  <si>
    <t>1000Base-T千兆以太网收发器 (SFP MSA) ， 支持5,5E和6类铜缆，可达100m。SFP支持10/100/1000Mb/s和全双工模式。注意：仅AOS 8.9.R03或更高版本支持此设备。</t>
  </si>
  <si>
    <t>Gigabit Eth.Transc.(SFP+MSA)</t>
  </si>
  <si>
    <t>SFP-1G-T</t>
  </si>
  <si>
    <t>固定速率1000Base-T千兆以太网收发器（SFP MSA）,支持5，5E和6类铜线，可达100m。</t>
  </si>
  <si>
    <t>ISFP-10G-ER</t>
  </si>
  <si>
    <t>10G光收发器（SFP+）。使用LC连接器，支持1550nm波长的单模光纤。可达40Km</t>
  </si>
  <si>
    <t>ISFP-10G-LR</t>
  </si>
  <si>
    <t>10G工业级光纤收发器（SFP+）,支持1310nm波长单模光纤，LC接头，可传输10km</t>
  </si>
  <si>
    <t>10G直连铜缆（60cm，SFP+）</t>
  </si>
  <si>
    <t>10G直连铜缆（1m，SFP+）</t>
  </si>
  <si>
    <t>10G直连铜缆（3m，SFP+）</t>
  </si>
  <si>
    <t>10G直连铜缆（7m，SFP+）</t>
  </si>
  <si>
    <t>ISFP-10G-C1M</t>
  </si>
  <si>
    <t>10G工业级直连铜缆（1m，SFP+）</t>
  </si>
  <si>
    <t>ISFP-10G-C3M</t>
  </si>
  <si>
    <t>10G工业级直连铜缆（3m，SFP+）</t>
  </si>
  <si>
    <t>ISFP-10G-C7M</t>
  </si>
  <si>
    <t>10G工业级直连铜缆（7m，SFP+）</t>
  </si>
  <si>
    <t>SFP-10G-ER</t>
  </si>
  <si>
    <t>SFP-10G-GIG-LR</t>
  </si>
  <si>
    <t>双速SFP+光收发器。支持1310nm波长的单模光纤。最远传输距离10km，支持1000Base-LX和10Base-LR</t>
  </si>
  <si>
    <t>SFP-10G-GIG-SR</t>
  </si>
  <si>
    <t>双速SFP+光收发器。支持850nm波长的多模光纤。支持1000Base-SX和10Base-SR</t>
  </si>
  <si>
    <t>SFP-10G-LR</t>
  </si>
  <si>
    <t>10G光收发器（SFP+）。使用LC连接器，支持1310nm波长的单模光纤。可达10Km</t>
  </si>
  <si>
    <t>SFP-10G-LRM</t>
  </si>
  <si>
    <t>10G光收发器（SFP+）。使用LC连接器，支持1310nm波长的多模光纤。在FDDI级（62.5um)可达220m</t>
  </si>
  <si>
    <t>SFP-10G-SR</t>
  </si>
  <si>
    <t>10G光收发器（SFP+）。使用LC连接器，支持850nm波长的多模光纤。可达300m</t>
  </si>
  <si>
    <t>SFP-10G-T</t>
  </si>
  <si>
    <t>10G光收发器（SFP+），10G电接口以太网传输（SFP MSA），支持5类，超5类，6类以太网线缆，传输距离30m。SFP支持10Gbps全双工模式。注意：仅AOS 8.9.R03或更高版本支持此设备。</t>
  </si>
  <si>
    <t>SFP-10G-ZR</t>
  </si>
  <si>
    <t>10G光收发器（SFP+）。使用LC连接器，支持1550nm波长的单模光纤。可达80Km</t>
  </si>
  <si>
    <t>SFP-10G-BX-D</t>
  </si>
  <si>
    <t>10G光纤收发器（SFP+），LC接头，此双向收发器专门设计用于最长10公里的单根单模光纤链路上，光信号发射在1330nm波长上，接收在1270nm波长上。</t>
  </si>
  <si>
    <t>SFP-10G-BX-U</t>
  </si>
  <si>
    <t>10G光纤收发器（SFP+），LC接头，此双向收发器专门设计用于最长10公里的单根单模光纤链路上，光信号发射在1270nm波长上，接收在1330nm波长上。</t>
  </si>
  <si>
    <t>SFP-10G-CWDM</t>
  </si>
  <si>
    <t>10G CWDM收发器(SFP+ MSA)， LC接头，支持1550nm以上波长的单模光纤，传输距离40km。</t>
  </si>
  <si>
    <t>50 Gigabit Ethernet Transceivers (QSFP56)</t>
  </si>
  <si>
    <t>SFP-50G-C1M</t>
  </si>
  <si>
    <t>50G直连铜缆（1m，SFP56）</t>
  </si>
  <si>
    <t>SFP-50G-C3M</t>
  </si>
  <si>
    <t>50G直连铜缆（3m，SFP56）</t>
  </si>
  <si>
    <t>SFP-50G-C50CM</t>
  </si>
  <si>
    <t>50G直连铜缆（50cm，SFP56）</t>
  </si>
  <si>
    <t>SFP-50G-FR</t>
  </si>
  <si>
    <t xml:space="preserve">50G 光纤收发器（ SFP56），支持链路长度达 2KM 的 SMF 传输。LC 连接器 </t>
  </si>
  <si>
    <t>SFP-50G-LR</t>
  </si>
  <si>
    <t>50G 光纤收发器（ SFP56），在SMF传输距离长达 10 公里。符合 SFF-8432 标准， LC 接头</t>
  </si>
  <si>
    <t>SFP-50G-SR</t>
  </si>
  <si>
    <t xml:space="preserve">50G 光纤收发器（ SFP56），支持 850nm 波长的多模光纤。在OM4 MMF最大链路长度为 100m 。LC 接头。 </t>
  </si>
  <si>
    <t>40Gigabit Ethernet Transceivers (QSFP + MSA)</t>
  </si>
  <si>
    <t>QSFP-40G-AOC20M</t>
  </si>
  <si>
    <t>40G 直连光纤（20m，QSFP+）</t>
  </si>
  <si>
    <t>QSFP-40G-C1M</t>
  </si>
  <si>
    <t>40G直连铜缆（1m，QSFP+）</t>
  </si>
  <si>
    <t>QSFP-40G-C3M</t>
  </si>
  <si>
    <t>40G直连铜缆（3m，QSFP+）</t>
  </si>
  <si>
    <t>QSFP-40G-C40CM</t>
  </si>
  <si>
    <t>40G直连铜缆（40cm，QSFP+）</t>
  </si>
  <si>
    <t>QSFP-40G-C7M</t>
  </si>
  <si>
    <t>40G直连铜缆（7m，QSFP+）</t>
  </si>
  <si>
    <t>QSFP-40G-LR</t>
  </si>
  <si>
    <t>4通道40G光收发器（QSFP+）。支持1310nm波长的单模光纤。可达10Km，双工LC接头</t>
  </si>
  <si>
    <t>QSFP-40G-CLR</t>
  </si>
  <si>
    <t>4通道40G光收发器（QSFP+）。支持1310nm波长的单模光纤。可达2Km，LC接头</t>
  </si>
  <si>
    <t>QSFP-40G-SR</t>
  </si>
  <si>
    <t>4通道40G光收发器（QSFP+）。在OM3和OM4的多模光纤上，支持100m和150m,MPO接头</t>
  </si>
  <si>
    <t>QSFP-4X10G-C1M</t>
  </si>
  <si>
    <t>40G转4*10G直连分离铜缆（1m，QSFP+）</t>
  </si>
  <si>
    <t>QSFP-4X10G-C3M</t>
  </si>
  <si>
    <t>40G转4*10G直连分离铜缆（3m，QSFP+）</t>
  </si>
  <si>
    <t>QSFP-4X10G-C5M</t>
  </si>
  <si>
    <t>40G转4*10G直连分离铜缆（5m，QSFP+）</t>
  </si>
  <si>
    <t>QSFP-4X10G-SR</t>
  </si>
  <si>
    <t>40 G转 4 *10 G MPO 光纤分离收发器</t>
  </si>
  <si>
    <t>QSFP-40G-ER</t>
  </si>
  <si>
    <t>40G光纤收发器（QSFP+MSA）， 支持单模光纤，传输距离40Km， 双工LC接头</t>
  </si>
  <si>
    <t>100 Gigabit Ethernet Transceivers (QSFP28)</t>
  </si>
  <si>
    <t>QSFP-4X25G-C1M</t>
  </si>
  <si>
    <t>100 Gigabit QSFP28 到 4x25 Gigabit 直连分离铜缆，1米</t>
  </si>
  <si>
    <t>QSFP-4X25G-C3M</t>
  </si>
  <si>
    <t>100 Gigabit QSFP28 到 4x25 Gigabit 直连分离铜缆，3米</t>
  </si>
  <si>
    <t>QSFP-4X25G-C5M</t>
  </si>
  <si>
    <t>100 Gigabit QSFP28 到 4x25 Gigabit 直连分离铜缆，5米</t>
  </si>
  <si>
    <t>100 Gigabit Ethernet Transceivers (QSFP28 + MSA)</t>
  </si>
  <si>
    <t>QSFP-100G-A20M</t>
  </si>
  <si>
    <t>100 Gigabit QSFP28 直连光纤. 20 米.</t>
  </si>
  <si>
    <t>QSFP-100G-C1M</t>
  </si>
  <si>
    <t>100 Gigabit 直连铜缆 (1m, QSFP28)</t>
  </si>
  <si>
    <t>QSFP-100G-C3M</t>
  </si>
  <si>
    <t>100 Gigabit 直连铜缆 (3m, QSFP28)</t>
  </si>
  <si>
    <t>QSFP-100G-C5M</t>
  </si>
  <si>
    <t>100 Gigabit 直连铜缆 (5m, QSFP28)</t>
  </si>
  <si>
    <t>QSFP-100G-CLR4</t>
  </si>
  <si>
    <t xml:space="preserve">100 Gigabit 光纤收发器 (QSFP28). 支持单模光纤传输距离达 2Km. LC接口. </t>
  </si>
  <si>
    <t>QSFP-100G-CWDM4</t>
  </si>
  <si>
    <t>100 Gigabit 光纤收发器 (QSFP28). 支持单模光纤传输 2Km . LC接口. CWDM4.</t>
  </si>
  <si>
    <t>QSFP-100G-ER4</t>
  </si>
  <si>
    <t xml:space="preserve">100 Gigabit 光纤收发器 (QSFP28). 支持单模光纤传输 40Km . LC接口. </t>
  </si>
  <si>
    <t>QSFP-100G-LR4</t>
  </si>
  <si>
    <t xml:space="preserve">100 Gigabit 光纤收发器 (QSFP28). 支持单模光纤传输距离 10Km. LC接口. </t>
  </si>
  <si>
    <t>QSFP-100G-SR4</t>
  </si>
  <si>
    <t>100 Gigabit 光纤收发器 (QSFP28). 支持在OM3多模光纤传输 70m，在 OM4 多模光纤传输100m. MPO12接口</t>
  </si>
  <si>
    <t>101 Gigabit Ethernet Transceivers (QSFP28 + MSA)</t>
  </si>
  <si>
    <t>QSFP-100G-PSM4</t>
  </si>
  <si>
    <t>100 Gigabit 光纤收发器 (QSFP28). 支持单模光纤传输 2Km. PSM4.MPO接口. 需至AOS 8.10R4及以上版本。</t>
  </si>
  <si>
    <t>QSFP-100G-SR1.2</t>
  </si>
  <si>
    <t>LC 接口100G QSFP28 光收发器。支持 OM3 光纤最大传输距离 70 米，OM4 光纤最大传输距离 100 米。连接至 QSFPD-400G-SR4.2 的拆分。</t>
  </si>
  <si>
    <t>400 Gigabit Ethernet Transceivers (QSFP112)</t>
  </si>
  <si>
    <t>QSFP-400G-DR4-CN</t>
  </si>
  <si>
    <t>400G QSFP112 DR4多模光模块</t>
  </si>
  <si>
    <t>25 Gigabit Ehternet Transceivers (QSFP28 + MSA)</t>
  </si>
  <si>
    <t>SFP-25G-SR</t>
  </si>
  <si>
    <t>25 Gigabit 光纤收发器 (SFP28). 支持在OM3多模光纤传输 70m，在 OM4 多模光纤传输100m. LC接头</t>
  </si>
  <si>
    <t>SFP-25G-CLR</t>
  </si>
  <si>
    <t>25 Gigabit 光纤收发器 (SFP28). 支持单模光纤传输距离达 2Km. LC接头</t>
  </si>
  <si>
    <t>SFP-25G-ESR</t>
  </si>
  <si>
    <t xml:space="preserve">25Gigabit  光收发器SFP+。支持850nm波长以上的多模光纤，LC接头。在OM4 MMF上的典型距离为300米 </t>
  </si>
  <si>
    <t>SFP-25G-LR</t>
  </si>
  <si>
    <t>25 Gigabit 光纤收发器 (SFP28). 支持单模光纤传输距离 10Km. LC接头</t>
  </si>
  <si>
    <t>SFP-25G-C5M</t>
  </si>
  <si>
    <t>25 Gigabit 直连铜缆 (5米, SFP28)</t>
  </si>
  <si>
    <t>SFP-25G-C3M</t>
  </si>
  <si>
    <t>25 Gigabit 直连铜缆 (3米, SFP28)</t>
  </si>
  <si>
    <t>SFP-25G-C1M</t>
  </si>
  <si>
    <t>25 Gigabit 直连铜缆 (1米, SFP28)</t>
  </si>
  <si>
    <t>SFP-25G-A20M</t>
  </si>
  <si>
    <t>25 Gigabit 直连光纤(20米, SFP28)</t>
  </si>
  <si>
    <t>40 Gigabit Ethernet Transceivers (QSFP)</t>
  </si>
  <si>
    <t>QSFP-40G-PSM4</t>
  </si>
  <si>
    <t xml:space="preserve">40G QSFP+ PSM4 光收发器支持 4x10 分路器模式。MPO 接口，在 SMF 上最长可达 10km  </t>
  </si>
  <si>
    <t>QSFP-100G-C40CM</t>
  </si>
  <si>
    <t>四通道 100G QSFP28 直连铜缆（40 厘米）</t>
  </si>
  <si>
    <t>25 Gigabit Ethernet Transceivers (SFP28)</t>
  </si>
  <si>
    <t>SFP-25G-BX-D40</t>
  </si>
  <si>
    <t xml:space="preserve">25G 双向 SFP 光收发器，LC接口。设计用于单模光纤，传输距离可达 40KM。发送：1270nm/接收：1310nm。设计用于 SFP-25G-BX-D40 </t>
  </si>
  <si>
    <t>SFP-25G-BX-U40</t>
  </si>
  <si>
    <t xml:space="preserve">25G 双向 SFP 光收发器，LC 接口。设计用于单模光纤，传输距离可达 40KM。发送：1270nm/接收：1310nm。设计用于 SFP-25G-BX-U40 </t>
  </si>
  <si>
    <t>10 Gigabit Ethernet Transceivers (SFP+)</t>
  </si>
  <si>
    <t>SFP-10G-LR-100P</t>
  </si>
  <si>
    <t>100 个 SFP-10G-LR 光纤收发器的包装。SFP-10G-LR 10 千兆收发器（SFP+）支持 1310nm 以上波长的单模光纤（ LC 接口）。传输距离为 10KM。</t>
  </si>
  <si>
    <t>SFP-10G-LR-50P</t>
  </si>
  <si>
    <t>50 个 SFP-10G-LR 光纤收发器的包装。SFP-10G-LR 10 千兆收发器（SFP+）支持 1310nm 以上波长的单模光纤（带 LC 接口）。传输距离为 10KM。</t>
  </si>
  <si>
    <t>SFP-10G-SR-100P</t>
  </si>
  <si>
    <t>100个SFP-10G-SR 光纤收发器包装。SFP-10G-SR 万兆光纤收发器（SFP+）支持波长为 850nm 的多模光纤（LC接口）。传输距离为 300 米。</t>
  </si>
  <si>
    <t>SFP-10G-SR-50P</t>
  </si>
  <si>
    <t>50个SFP-10G-SR 光纤收发器包装。SFP-10G-SR 万兆光纤收发器（SFP+）支持波长为 850nm 的多模光纤（LC接口）。传输距离为 300 米。</t>
  </si>
  <si>
    <t>1 Gigabit Ethernet Transceivers (SFP)</t>
  </si>
  <si>
    <t>SFP-GIG-LX-100P</t>
  </si>
  <si>
    <t xml:space="preserve">100 个 SFP-GIG-LX光纤收发器包装。SFP-GIG-LX 1000Base-LX 千兆以太网光收发器 SFP MSA）。支持波长 1310nm 的单模光纤，LC接口。在 9/125 m SMF 上的典型传输距离为 10 Km。 </t>
  </si>
  <si>
    <t>SFP-GIG-LX-50P</t>
  </si>
  <si>
    <t xml:space="preserve">50个 SFP-GIG-LX光纤收发器包装。SFP-GIG-LX 1000Base-LX 千兆以太网光收发器 SFP MSA）。支持波长 1310nm 的单模光纤，LC接口。在 9/125 m SMF 上的典型传输距离为 10 Km。 </t>
  </si>
  <si>
    <t>SFP-GIG-SX-100P</t>
  </si>
  <si>
    <t xml:space="preserve">100 个SFP-GIG-SX光纤收发器包装。SFP-GIG-SX 1000Base-SX 千兆以太网光收发器 SFP MSA）。支持波长 850nm 的多模光纤，LC接口。62.5/125 m MMF 的典型传输距离为 300 米，50/125 m MMF 的典型传输距离为 550 米  </t>
  </si>
  <si>
    <t>SFP-GIG-SX-50P</t>
  </si>
  <si>
    <t xml:space="preserve">50个SFP-GIG-SX光纤收发器包装。SFP-GIG-SX 1000Base-SX 千兆以太网光收发器 SFP MSA）。支持波长 850nm 的多模光纤，LC接口。62.5/125 m MMF 的典型传输距离为 300 米，50/125 m MMF 的典型传输距离为 550 米  </t>
  </si>
  <si>
    <t>SFP-10G-BX-D40</t>
  </si>
  <si>
    <t xml:space="preserve">10G 双向 SFP+ 光纤收发器，LC 接口。设计用于单模光纤，传输距离可达 40KM。发送：1330nm/接收：1270nm。设计用于 SFP-10G-BX-U40。 </t>
  </si>
  <si>
    <t>SFP-10G-BX-U40</t>
  </si>
  <si>
    <t xml:space="preserve">10G 双向 SFP+ 光纤收发器，LC接口。设计用于单模光纤，传输距离可达 40KM。发送：1270nm/接收：1330nm。 设计用于 SFP-10G-BX-D40。 </t>
  </si>
  <si>
    <t>Dual Speed Ethernet Transceivers</t>
  </si>
  <si>
    <t>SFP-DUAL-MM-N</t>
  </si>
  <si>
    <t xml:space="preserve"> 100Base-FX/1000Base-X 以太网光纤收发器（SFP MSA）， LC 接口。支持 1310nm 波长的多模光纤。典型传输距离 550m @1 Gbps，2km @100Mbps。 注意：仅AOS 8.9.R03或更高版本支持此设备。 </t>
  </si>
  <si>
    <t>OmniAccess Stellar Access Points</t>
  </si>
  <si>
    <t>OAW-AP1231-RW</t>
  </si>
  <si>
    <t>OmniAccess Stellar AP1231无线接入点。 三频段 4x4:4 ，支持802.11a/b/g/n/ac wave2标准，支持 MU-MIMO, 支持DPI（深度包检测）应用识别，内置天线, 含1 个 2.5GbE端口, 1 个 1GbE端口, 集成 BLE, 1 个 USB端口, 1个 48V DC 电源接口, 1个 主控端口，标配OAW-AP-MNT-B安装套件。</t>
  </si>
  <si>
    <t>I</t>
  </si>
  <si>
    <t>EOS(06/30/2026)</t>
  </si>
  <si>
    <t>OAW-AP1232-RW</t>
  </si>
  <si>
    <t>OmniAccess Stellar AP1232无线接入点。 三频段 4x4:4，支持802.11a/b/g/n/ac wave2标准，支持 MU-MIMO,支持DPI（深度包检测）应用识别， 含1个 2.5GbE端口, 1个 1GbE端口, 集成 BLE, 1个 USB端口, 1个 48V DC电源接口, 1个 主控端口,  8 个 天线接头，标配OAW-AP-MNT-B安装套件。</t>
  </si>
  <si>
    <t>OAW-AP1201HL-RW</t>
  </si>
  <si>
    <t>OmniAccess Stellar AP1201HL无线接入点。 双频段 2x2:2，支持 802.11a/b/g/n/acwave2标准，支持 MU-MIMO, 内置天线, 含1个 GbE上行端口, 3个GbE下行端口，1个RJ45直通，1个 USB 端口(可用于 BLE), 1个 48V DC 电源接口, 1个主控接口，不支持PSE。</t>
  </si>
  <si>
    <t>OAW-AP1301L-RW</t>
  </si>
  <si>
    <t>OmniAccess Stellar AP1301L无线接入点。双频段：5GHz支持 2x2:2/2.4GHz 支持 2x2:2，支持 802.11ax标准， 内置天线，含 1个1GbE上行链路，1个管理控制端口，1个 48V DC 电源接口。AP安装套件需单独订购。</t>
  </si>
  <si>
    <t>OAW-AP1261-RW-B</t>
  </si>
  <si>
    <t>OmniAccess Stellar AP1261 室外无线接入点，支持 802.11ac Wave2，双频段，802.11n 2x2:2 + 802.11ac 2x2:2，1x GbE，内置天线。包含室外抱杆/壁挂安装套件。可以在除美国，埃及和日本以外地区销售</t>
  </si>
  <si>
    <t>OAW-AP1301-RW</t>
  </si>
  <si>
    <t>OmniAccess Stellar AP1301无线接入点。双频段：5GHz支持 2x2:2/2.4GHz 支持 2x2:2，支持 802.11ax标准， 内置天线，含 2个1GbE上行链路，1个管理控制端口、1个 USB 端口，1个 48V DC 电源接口。AP安装套件需单独订 购。可以在除美国，埃及、日本和以色列以外地区销售</t>
  </si>
  <si>
    <t>OAW-AP1301H-RW</t>
  </si>
  <si>
    <t>OmniAccess Stellar AP1301H无线接入点。双频段：2.4/5Ghz 支持 2x2:2，支持802.11ax标准，1个GbE上行链路，4个GbE下行链路（1个PSE），一对RJ45直通口，内置全向天线，内置BLE/Zigbee，1个USB和1个48V DC。</t>
  </si>
  <si>
    <t>OAW-AP1301W-RW</t>
  </si>
  <si>
    <t>OmniAccess Stellar AP1301W 无线接入点。双频段：5GHz 支持 2x2:2/2.4GHz 支持 2x2:2，支持 802.11ax 标准， 内置天线，含 1 个 GbE 上行链路，1 个下行 GE 口。支持express 快捷组网模式和OAW-6110集中管理模式</t>
  </si>
  <si>
    <t>OAW-AP1311-RW</t>
  </si>
  <si>
    <t>OmniAccess Stellar室内AP1311,双频2.4/5Ghz 2x2 802.11ax，全向天线，1x1扫描和BLE射频,2个1GE上行，1个1GE下行，1个RS-232 Console/Modbus IIoT，USB，48V DC。AP套件需单独订购。不在美国、埃及、以色列、日本销售</t>
  </si>
  <si>
    <t>OAW-AP1321-RW</t>
  </si>
  <si>
    <t>OmniAccess Stellar AP1321无线接入点。 双频段：5GHz支持 4x4:4/2.4GHz 支持 2x2:2，支持 802.11ax标准，包含1x1专用扫描频段，集成BLE，内置天线, 含 1个2.5GbE端口，1个 GbE端口, 1个 USB 端口, 1个 48V DC 电源接口, 1个主控接口.AP安装套件需单独订购。</t>
  </si>
  <si>
    <t>OAW-AP1322-RW</t>
  </si>
  <si>
    <t>OmniAccess Stellar AP1322无线接入点。 双频段：5GHz支持 4x4:4/2.4GHz 支持 2x2:2，支持 802.11ax标准，外置天线接口，包含1x1专用扫描频段，集成BLE, 含 1个2.5GbE端口，1个 GbE端口, 1个 USB 端口, 1个 48V DC 电源接口, AP安装套件需单独订购。</t>
  </si>
  <si>
    <t>OAW-AP1331-RW</t>
  </si>
  <si>
    <t>OmniAccess Stellar  AP1331无线接入电。双频段：2.4/5Ghz支持4x4:4，支持802.11ax标准，包含1x1专用扫描频段，集成BLE，内置全向天线。2个5GE上行口，1个RS-232控制台，USB，1个 48V DC 电源接口。AP安装套件需单独订购。</t>
  </si>
  <si>
    <t>OAW-AP1361-RW</t>
  </si>
  <si>
    <t>OmniAccess Stellar AP1361室外无线接入点。 双频段：5GHz支持 4x4:4/2.4GHz 支持 2x2:2，支持 802.11ax标准，内置全向天线，包含1x1专用扫描频段，集成BLE，含 1个2.5GbE端口，1个 GbE端口（符合802.3af标准的以太网供电(PoE-PSE))，1个1GbE SFP端口， USB 端口,1个 48V DC 电源接口,AP安装套件需单独订购。可以在除美国，埃及、日本和以色列以外地区销售</t>
  </si>
  <si>
    <t>OAW-AP1361D-RW</t>
  </si>
  <si>
    <t>OmniAccess Stellar AP1361D室外无线接入点。 双频段：5GHz支持 4x4:4/2.4GHz 支持 2x2:2，支持 802.11ax标准，内置定向天线，包含1x1专用扫描频段，集成BLE，含 1个2.5GbE端口，1个 GbE端口（符合802.3af标准的以太网供电(PoE-PSE))，1个1GbE SFP端口， USB 端口, AP安装套件需单独订购。 可以在除美国，埃及、日本和以色列以外地区销售</t>
  </si>
  <si>
    <t>OAW-AP1362-RW</t>
  </si>
  <si>
    <t>OmniAccess Stellar AP1362室外无线接入点。 双频段：5GHz支持 4x4:4/2.4GHz 支持 2x2:2，支持 802.11ax标准，外置天线接口，包含1x1专用扫描频段，集成BLE，含 1个2.5GbE端口，1个 GbE端口（符合802.3af标准的以太网供电(PoE-PSE))，1个1GbE SFP端口， USB 端口, AP安装套件需单独订购。</t>
  </si>
  <si>
    <t>OAW-AP1351-RW</t>
  </si>
  <si>
    <t>OmniAccess Stellar AP1351无线接入点。 三频段：2.4GHz+双5GHz支持4x4+8x8+4x4，支持 802.11ax标准，包含1x1专用扫描频段，集成BLE，内置天线, 含 2个10GbE上行端口，1个 USB 端口,  48V DC, 1个主控接口.AP安装套件需单独订购。</t>
  </si>
  <si>
    <t>OAW-AP1451-RW</t>
  </si>
  <si>
    <t>OmniAccess Stellar AP1451室内无线接入点。 三射频 2.4GHz+5GHz+6GHz 支持4x4+8x8+4x4，支持Wi-Fi6E标准, 包含1x1专用扫描频段，集成BLE/Zigbee 无线射频，内置全向天线。 2x 10GE 上联, 1 x 管理控制端口, 1 x USB, 48V DC。AP 安装需单独订购。不适用于美国、埃及。</t>
  </si>
  <si>
    <t>OmniAccess Stellar Access Point Accessories</t>
  </si>
  <si>
    <t>OAW-AP1431-RW</t>
  </si>
  <si>
    <t>OmniAccess Stellar Indoor AP1431室内无线接入点. 三射频 支持2.4+5+6GHz 2x2 支持Wi-Fi6E标准, 集成全向天线。集成BLE/Zigbee 无线射频 2x 2.5GE 上联,1 x 管理控制端口, 1 x USB, 48V DC。AP安装套件需单独订购。不在美国、日本销售。</t>
  </si>
  <si>
    <t>OAW-AP1411-RW</t>
  </si>
  <si>
    <t>OmniAccess Stellar Indoor AP1411室内无线接入点。双无线电，三射频2.4/5/6GHz 支持Wi-Fi6E标准,集成全向天线。集成BLE/Zigbee无线射频。1个2.5GE上联（PoE）+1个1GE上联,1 x 管理控制端口,1 x USB，48V DC。AP支架需单独订购。不在美国、日本销售。</t>
  </si>
  <si>
    <t>OAW-AP1501-RW</t>
  </si>
  <si>
    <t>OmniAccess Stellar 室内型 AP1501 Wi-Fi 7 无线接入点。三射频 2.4GHz+5GHz+6GHz 2x2/2x2/2x2 802.11be，内置全向天线。1 个 2.5GE PoE 端口，1 个控制台接口，48V 直流电源。AP 安装套件需单独订购。不适用于美国、埃及、日本。</t>
  </si>
  <si>
    <t>咨询ALE售前        (SRRC办理中)</t>
  </si>
  <si>
    <t>OAW-AP1511-RW</t>
  </si>
  <si>
    <t xml:space="preserve">  OmniAccess Stellar AP1511 Wi-Fi 7。三射频 2.4GHz/5GHz/6GHz 2x2+2x2+2x2 802.11be，集成全向天线。集成BLE/Zigbee无线射频。1x 5GE上联、1x USB-C 控制台、USB Type-C、48V DC。AP 支架需单独订购。不适用于美国、埃及和日本。</t>
  </si>
  <si>
    <t>OAW-AP1521-RW</t>
  </si>
  <si>
    <t>OmniAccess Stellar AP1521 Wi-Fi 7。三无线电 2.4GHz/5GHz/6GHz 2x2+4x4+2x2 802.11be，集成全向天线。集成BLE/Zigbee无线射频，包含1x1专用扫描频段。1x10GE、1x1GE、1x 控制台、USB、48V DC。AP 支架需单独订购。不适用于美国、埃及和日本。</t>
  </si>
  <si>
    <t>OAW-AP1511-CN</t>
  </si>
  <si>
    <t xml:space="preserve">  OmniAccess Stellar AP1511 Wi-Fi 7。三射频 2.4GHz/5GHz/6GHz 2x2+2x2+2x2 802.11be，集成全向天线。集成BLE/Zigbee无线射频。1x 5GE上联、1x USB-C 控制台、USB Type-C、48V DC。AP 支架需单独订购。仅适用于中国大陆(港澳台地区除外)销售。</t>
  </si>
  <si>
    <t>OAW-AP1521-CN</t>
  </si>
  <si>
    <t>OmniAccess Stellar AP1521 Wi-Fi 7。三无线电 2.4GHz/5GHz/6GHz 2x2+4x4+2x2 802.11be，集成全向天线。集成BLE/Zigbee无线射频，包含1x1专用扫描频段。1x10GE、1x1GE、1x 控制台、USB、48V DC。AP 支架需单独订购。仅适用于中国大陆(港澳台地区除外)销售。</t>
  </si>
  <si>
    <t>OAW-AP1541-RW</t>
  </si>
  <si>
    <t>OmniAccess Stellar AP1541 Wi-Fi 7. 三射频 2.4GHz/5GHz/6GH 4x4 802.11be,集成全向天线。包含1x1专用扫描频段。集成BLE/Zigbee无线射频。1x10GE、1 combo 10GE/SFP+、1 x 管理控制端口、 1 x USB、48VDC。AP 支架需单独订购。不适用于美国、埃及和日本。</t>
  </si>
  <si>
    <t>OAW-AP1542-RW</t>
  </si>
  <si>
    <t>OmniAccess Stellar AP1542 Wi-Fi 7. 三射频 2.4GHz/5GHz/6GH 4x4 802.11be,外部天线采用RPSMA母头接口。包含1x1专用扫描频段。集成BLE/Zigbee无线射频。1x10GE、1 combo 10GE/SFP+、1 x 管理控制端口、1 x USB, 48VDC。AP 支架需单独订购。不适用于美国、埃及和日本。</t>
  </si>
  <si>
    <t>OAW-AP1561-RW</t>
  </si>
  <si>
    <t>OmniAccess Stellar AP1561 Wi-Fi 7室外无线接入点. 三射频 2.4GHz+5GHz+5GHz/6GHz 2x2/2x2/2x2 802.11be, 集成全向天线. 2.5GE PoE.AP 支架需单独订购。不适用于美国、埃及、以色列和日本。</t>
  </si>
  <si>
    <t>OAW-AP1571-RW</t>
  </si>
  <si>
    <t>OmniAccess Stellar AP1571 Wi-Fi 7 室外无线接入点。三射频 2.4GHz+5GHz+5GHz/6GHz 2x2 802.11be,集成全向天线。包含1x1专用扫描频段。集成BLE/Zigbee无线射频。 1x10GE-PoE/SFP+, 1x1GbE PSE, 1x USB. AP 支架需单独订购。不适用于美国、埃及、以色列和日本。</t>
  </si>
  <si>
    <t>OAW-AP1572-RW</t>
  </si>
  <si>
    <t>OmniAccess Stellar AP1572 Wi-Fi 7 室外无线接入点。三射频 2.4GHz+5GHz+5GHz/6GHz 2x2 802.11be, 外置天线N型母头接口。包含1x1专用扫描频段。集成BLE/Zigbee无线射频。 1x10GE-PoE/SFP+,1x1GbE PSE,  1x USB.AP 支架需单独订购。不适用于美国、埃及、以色列和日本。</t>
  </si>
  <si>
    <t>ADP-50GRBE</t>
  </si>
  <si>
    <t>OmniAccess Stellar室内接入点电源适配器。48V AC-DC电源适配器， Type A DC 插头，2.1*5.5*9.5毫米环形，直接。请订购PWR-CORD-XX电源线。</t>
  </si>
  <si>
    <t>ANT-O-6</t>
  </si>
  <si>
    <t>双频段 2.4/5GHz, 1单元, 直连 , 全向天线, 6dBi (4x)，含4根天线</t>
  </si>
  <si>
    <t>ANT-O-M2-5</t>
  </si>
  <si>
    <t>双频段2.4/5GHz，2单元，户外全向天线，带N型母头，5dBi @ 2.4GHz &amp; 8dBi @ 5GHz，方位全向，仰角35°/25°，包括杆状安装套件。</t>
  </si>
  <si>
    <t>ANT-O-M4-5</t>
  </si>
  <si>
    <t>双频段 2.4/5GHz, 4单元, 顶装 , 下倾角全向天线, &gt;5dBi (1x); 包括 4根 30-35英寸射频电缆</t>
  </si>
  <si>
    <t>ANT-O-M4-9</t>
  </si>
  <si>
    <t>双频段2.4/5GHz，4单元，户外全向天线，带N型母头，7.5dBi @ 2.4GHz &amp; 9dBi @ 5GHz，方位全向，仰角22°/11°，包括杆状安装套件。</t>
  </si>
  <si>
    <t>ANT-S-M4-60</t>
  </si>
  <si>
    <t>双频段 2.4/5GHz, 4单元, 墙面安装, 扇面天线 , &gt;5dBi, 60°Hx60°V (1x); 包括 4根 30-35英寸射频电缆</t>
  </si>
  <si>
    <t>ANT-O-M6-8</t>
  </si>
  <si>
    <t>室外双频 2.4/5GHz 天线，水平全向和垂直（40°±5°）波束宽度，6 个 N-Type 母连接器。2.4GHz 2×2 MIMO + 5GHz 4×4 MIMO，5GHz 峰值增益 8dBi，2.4GHz 6dBi。包括杆式安装套件。</t>
  </si>
  <si>
    <t>ANT-S-M6-60-9</t>
  </si>
  <si>
    <t xml:space="preserve">室外双频 2.4/5GHz 扇形天线，水平面波束宽度（65°±10°），垂直面波束宽度（35°±10°），6 个 N-Type 母连接器。2.4GHz 2×2 MIMO + 5GHz 4×4 MIMO，2.4GHz 和 5GHz 峰值增益 9dBi。包括杆式安装套件。 </t>
  </si>
  <si>
    <t>ANT-S-M4-120</t>
  </si>
  <si>
    <t>双频2.4/5GHz，4单元，壁挂式，扇形天线，5dBi，H平面120°，E平面70°，包括4*30-35in射频电缆（SMA-J/RPSMA-J），包括支架。</t>
  </si>
  <si>
    <t>ANT-S-M4-30</t>
  </si>
  <si>
    <t>单频段5GHz，4单元，壁挂式，扇形天线，13dBi，H平面37°，E平面37°，4个RPSMA母接头，包括安装。</t>
  </si>
  <si>
    <t>AP-MNT-IN-WE</t>
  </si>
  <si>
    <t>适用于平面的室内安装套件：墙壁/天花板/接线盒安装，带螺钉。适用于 OmniAccess Stellar AP13xx、AP14xx 和 AP15xx。</t>
  </si>
  <si>
    <t>AP-MNT-OUT-H</t>
  </si>
  <si>
    <t xml:space="preserve">户外下倾角挂装套件（适用于杆式安装）。适用于 OmniAccess Stellar AP1361。  </t>
  </si>
  <si>
    <t>AP-MNT-OUT</t>
  </si>
  <si>
    <t>备件, 室外型AP安装套件. 适用于所有Stellar 室外型AP。</t>
  </si>
  <si>
    <t>AP-OUT-SFP-KIT</t>
  </si>
  <si>
    <t>室外SFP密封盖，用于AP1360系列室外接入点的防风雨密封组件。</t>
  </si>
  <si>
    <t>OAW-AP-MNT-B</t>
  </si>
  <si>
    <t>下一代无线接入点的安装套件，B1(9/16") 和B2(15/16")适用于T型吊顶轨道安装。适用于 OmniAccess Stellar AP1101和AP12xx(L)系列。兼容AP13xx系列（不适用于AP1351）。</t>
  </si>
  <si>
    <t>H</t>
  </si>
  <si>
    <t>OAW-AP-MNT-C</t>
  </si>
  <si>
    <t>下一代无线接入点室内安装套件，C1（开放栅格）和C2（凸起隔断）适用于其他类型吊顶安装。适用于 OmniAccess Stellar AP1101、AP12xx(L) 和 AP123x系列(不适用于AP1351)。</t>
  </si>
  <si>
    <t>OAW-AP-MNT-W</t>
  </si>
  <si>
    <t>下一代无线接入点室内安装套件，适用于墙面和天花板螺丝安装。适用于 OmniAccess Stellar AP1101、AP12xx 、AP13xx系列。</t>
  </si>
  <si>
    <t>AP-MNT-IN-BE</t>
  </si>
  <si>
    <t>AP-MNT-IN-BE 增强型室内安装套件，B1型（9/16）和B2型（15/16）用于T型天花板导轨安装。适用于OmniAccess Stellar AP1351, AP1101, AP12xx和其他AP13xx、AP14xx、AP15xx系列。</t>
  </si>
  <si>
    <t>AP-MNT-IN-CE</t>
  </si>
  <si>
    <t xml:space="preserve">AP-MNT-IN-CE 增强型室内安装套件，C1型（开放栅格）和C2型（凸起隔断），适用于其他形状的天花板导轨安装。适用于OmniAccess Stellar AP1351, AP1101, AP12xx和其他AP13xx、AP14xx、AP15xx系列。 </t>
  </si>
  <si>
    <t>AP-MNT-DSK-B</t>
  </si>
  <si>
    <t xml:space="preserve">可选的桌面安装套件。适用于OmniAccess Stellar AP1301H。 </t>
  </si>
  <si>
    <t>PD-3501G/AC</t>
  </si>
  <si>
    <t>1端口IEEE 802.3af PoE电源注入器。 端口速率10/100 / 1000M，PoE功率15.4W。 不含电源线。 请订购PWR-CORD-XX特定国家的电源线。</t>
  </si>
  <si>
    <t>AP-MNT-IN-WE2</t>
  </si>
  <si>
    <t>Indoor Mounting kit for flat surface: wall/ceiling/junction-box mount with screws. High-Density Plastic. Wide compatibility. Applicable for OmniAccess Stellar AP13xx, AP14xx and AP15xx.
适用于平面的室内安装套件：墙壁/天花板/接线盒安装，带螺钉。高密度塑料材质。适用于 OmniAccess Stellar AP13xx、AP14xx 和 AP15xx。</t>
  </si>
  <si>
    <t>PD-9001GO-ET/AC</t>
  </si>
  <si>
    <t>1端口802.3at PoE室外标准电源注入器，端口速率为千兆，输出功率30W，需Blunt Cut专用线缆。</t>
  </si>
  <si>
    <t>PD-9001GR/AT/AC</t>
  </si>
  <si>
    <t>1端口IEEE 802.3at PoE电源注入器。 端口速率10/100 / 1000M，PoE功率30W。 不含电源线。 请订购PWR-CORD-XX特定国家的电源线。</t>
  </si>
  <si>
    <t>PD-9001-25GR/AC</t>
  </si>
  <si>
    <t xml:space="preserve">1端口IEEE 802.3at PoE电源注入器。支持10/100/1000Base-T和2.5GbE（802.3bz/NBASE-T）PoE电源30W 802.3at标准。不含电源线。 请订购PWR-CORD-XX特定国家的电源线。 </t>
  </si>
  <si>
    <t>PD-9501GR/AC</t>
  </si>
  <si>
    <t>1端口IEEE 802.3at 4线对PoE电源注入器。 端口速率10/100 / 1000M，PoE功率60W。 不含电源线。 请订购PWR-CORD-XX特定国家的电源线。</t>
  </si>
  <si>
    <t>PD-9601GO/AC</t>
  </si>
  <si>
    <t>1端口802.3bt PoE室外标准电源注入器，端口速率为10/100/1000M，输出功率90W，需Blunt Cut专用线缆。</t>
  </si>
  <si>
    <t>PD-OUT/MBK/ET</t>
  </si>
  <si>
    <t>室外PoE电源注入器的立柱/墙面安装套件(PD-9001GO-ET/AC)</t>
  </si>
  <si>
    <t>PD-OUT/MBK/S</t>
  </si>
  <si>
    <t>室外PoE电源注入器的立柱/墙面安装套件 (PD-9601GO/AC)</t>
  </si>
  <si>
    <t>POE60S-1BT-R</t>
  </si>
  <si>
    <t>IEEE 802.3bt PoE 注入器，三合一单端口GE介质转换器。不包括电源线。请订购PWR-CORD-XX作为不同国家的电源线。</t>
  </si>
  <si>
    <t>POE60U-1BT-X-R</t>
  </si>
  <si>
    <t>IEEE 802.3bt（60W）PoE注入器。支持1/2.5/5/10GE速率。不包括电源线。请订购PWR-CORD-XX作为不同国家的电源线。</t>
  </si>
  <si>
    <t>POEO75U-1BT-R</t>
  </si>
  <si>
    <t xml:space="preserve">IEEE 802.3bt室外型单端口2.5GE PoE注入器。适用于室外IP67等级。 </t>
  </si>
  <si>
    <t>OAW-AP-MNT-W-10</t>
  </si>
  <si>
    <t>10个包装。安装组件，A型墙安装和天花板安装与螺丝。适用于OmniAccess Stellar室内型 AP1101、AP12xx、AP13xx、AP14xx。</t>
  </si>
  <si>
    <t>SUPPORT Software</t>
  </si>
  <si>
    <t>OAW-AP-MNT-B-10</t>
  </si>
  <si>
    <t>10个包装。安装组件，B1型(9/16)和B2型(15/16)，用于T型吊顶导轨的安装。产品包装的标准配置。适用于OmniAccess Stellar室内型 AP1101、AP12xx、AP13xx（不适用于AP1351）。</t>
  </si>
  <si>
    <t>OAW-AP-MNT-DSK</t>
  </si>
  <si>
    <t>可选安装件,桌面安装适配件,适用于AP1201H系列.</t>
  </si>
  <si>
    <t>PPM1-OAWAP1101</t>
  </si>
  <si>
    <t>1个月合作伙伴OAW-AP1101-xx升级服务，包含24*7接入技术支持服务，软件版本更新和升级及服务页面接入服务，以及下一工作日硬件先行更换服务AVR。</t>
  </si>
  <si>
    <t>PPM1-AP1201BG</t>
  </si>
  <si>
    <t>1个月合作伙伴OAW-AP1201BG-xx升级服务，包含24*7接入技术支持服务，软件版本更新和升级及服务页面接入服务，以及下一工作日硬件先行更换服务AVR。</t>
  </si>
  <si>
    <t>PWM1-AP1201BG</t>
  </si>
  <si>
    <t>1个月合作伙伴OAW-AP1201BG-xx系列软件支持服务，包含24*7接入技术支持服务，软件版本更新和升级及服务页面接入服务</t>
  </si>
  <si>
    <t>PPM1-OAWAP1201</t>
  </si>
  <si>
    <t>1个月合作伙伴OAW-AP1201-xx升级服务，包含24*7接入技术支持服务，软件版本更新和升级及服务页面接入服务，以及下一工作日硬件先行更换服务AVR。</t>
  </si>
  <si>
    <t>PPM1-OAWAP1221</t>
  </si>
  <si>
    <t>1个月合作伙伴OAW-AP1221-xx升级服务，包含24*7接入技术支持服务，软件版本更新和升级及服务页面接入服务，以及下一工作日硬件先行更换服务AVR。</t>
  </si>
  <si>
    <t>PPM1-OAWAP1222</t>
  </si>
  <si>
    <t>1个月合作伙伴OAW-AP1222-xx升级服务，包含24*7接入技术支持服务，软件版本更新和升级及服务页面接入服务，以及下一工作日硬件先行更换服务AVR。</t>
  </si>
  <si>
    <t>PPM1-OAWAP1231</t>
  </si>
  <si>
    <t>1个月合作伙伴OAW-AP1231-xx升级服务，包含24*7接入技术支持服务，软件版本更新和升级及服务页面接入服务，以及下一工作日硬件先行更换服务AVR。</t>
  </si>
  <si>
    <t>PPM1-OAWAP1232</t>
  </si>
  <si>
    <t>1个月合作伙伴OAW-AP1232-xx升级服务，包含24*7接入技术支持服务，软件版本更新和升级及服务页面接入服务，以及下一工作日硬件先行更换服务AVR。</t>
  </si>
  <si>
    <t>PPM1-OAWAP1251</t>
  </si>
  <si>
    <t>1个月合作伙伴OAW-AP1251-xx升级服务，包含24*7接入技术支持服务，软件版本更新和升级及服务页面接入服务，以及下一工作日硬件先行更换服务AVR。</t>
  </si>
  <si>
    <t>PPM1-OAWAP1261B</t>
  </si>
  <si>
    <t>1个月合作伙伴OAW-AP1261B-xx升级服务，包含24*7接入技术支持服务，软件版本更新和升级及服务页面接入服务，以及下一工作日硬件先行更换服务AVR。</t>
  </si>
  <si>
    <t>PPM1-OAWAP1301H</t>
  </si>
  <si>
    <t>1个月合作伙伴OAW-AP1301H-xx升级服务，包含24*7接入技术支持服务，软件版本更新和升级及服务页面接入服务，以及下一工作日硬件先行更换服务AVR。</t>
  </si>
  <si>
    <t>PPM1-OAWAP1301</t>
  </si>
  <si>
    <t>1个月合作伙伴OAW-AP1301-xx升级服务，包含24*7接入技术支持服务，软件版本更新和升级及服务页面接入服务，以及下一工作日硬件先行更换服务AVR。</t>
  </si>
  <si>
    <t>PPM1-OAWAP1311</t>
  </si>
  <si>
    <t>1个月合作伙伴OAW-AP1311-xx升级服务，包含24*7接入技术支持服务，软件版本更新和升级及服务页面接入服务，以及下一工作日硬件先行更换服务AVR。</t>
  </si>
  <si>
    <t>PPM1-OAWAP1320</t>
  </si>
  <si>
    <t>1个月合作伙伴OAW-AP1320-xx升级服务，包含24*7接入技术支持服务，软件版本更新和升级及服务页面接入服务，以及下一工作日硬件先行更换服务AVR。</t>
  </si>
  <si>
    <t>PPM1-OAWAP1331</t>
  </si>
  <si>
    <t>1个月合作伙伴OAW-AP1331-xx升级服务，包含24*7接入技术支持服务，软件版本更新和升级及服务页面接入服务，以及下一工作日硬件先行更换服务AVR。</t>
  </si>
  <si>
    <t>PPM1-OAWAP1351</t>
  </si>
  <si>
    <t>1个月合作伙伴OAW-AP1351-xx升级服务，包含24*7接入技术支持服务，软件版本更新和升级及服务页面接入服务，以及下一工作日硬件先行更换服务AVR。</t>
  </si>
  <si>
    <t>PPM1-OAWAP1360</t>
  </si>
  <si>
    <t>1个月合作伙伴OAW-AP1360-xx升级服务，包含24*7接入技术支持服务，软件版本更新和升级及服务页面接入服务，以及下一工作日硬件先行更换服务AVR。</t>
  </si>
  <si>
    <t>PPM1-OAWAP1411</t>
  </si>
  <si>
    <t>1个月合作伙伴OAW-AP1411-xx升级服务，包含24*7接入技术支持服务，软件版本更新和升级及服务页面接入服务，以及下一工作日硬件先行更换服务AVR。</t>
  </si>
  <si>
    <t>PPM1-OAWAP1431</t>
  </si>
  <si>
    <t>1个月合作伙伴OAW-AP1431-xx升级服务，包含24*7接入技术支持服务，软件版本更新和升级及服务页面接入服务，以及下一工作日硬件先行更换服务AVR。</t>
  </si>
  <si>
    <t>PPM1-OAWAP1451</t>
  </si>
  <si>
    <t>1个月合作伙伴OAW-AP1451-xx升级服务，包含24*7接入技术支持服务，软件版本更新和升级及服务页面接入服务，以及下一工作日硬件先行更换服务AVR。</t>
  </si>
  <si>
    <t>PPM1-OAWAP1501</t>
  </si>
  <si>
    <t>1个月合作伙伴OAW-AP1501-xx升级服务，包含24*7接入技术支持服务，软件版本更新和升级及服务页面接入服务，以及下一工作日硬件先行更换服务AVR。</t>
  </si>
  <si>
    <t>PPM1-OAWAP1511</t>
  </si>
  <si>
    <t>1个月合作伙伴OAW-AP1511-xx升级服务，包含24*7接入技术支持服务，软件版本更新和升级及服务页面接入服务，以及下一工作日硬件先行更换服务AVR。</t>
  </si>
  <si>
    <t>PPM1-OAWAP1521</t>
  </si>
  <si>
    <t>1个月合作伙伴OAW-AP1521-xx升级服务，包含24*7接入技术支持服务，软件版本更新和升级及服务页面接入服务，以及下一工作日硬件先行更换服务AVR。</t>
  </si>
  <si>
    <t>PPM1-OAWAP1541</t>
  </si>
  <si>
    <t>1个月合作伙伴OAW-AP1541-xx升级服务，包含24*7接入技术支持服务，软件版本更新和升级及服务页面接入服务，以及下一工作日硬件先行更换服务AVR。</t>
  </si>
  <si>
    <t>PPM1-OAWAP1542</t>
  </si>
  <si>
    <t>1个月合作伙伴OAW-AP1542-xx升级服务，包含24*7接入技术支持服务，软件版本更新和升级及服务页面接入服务，以及下一工作日硬件先行更换服务AVR。</t>
  </si>
  <si>
    <t>PPM1-OAWAP1561</t>
  </si>
  <si>
    <t>1个月合作伙伴OAW-AP1561-xx升级服务，包含24*7接入技术支持服务，软件版本更新和升级及服务页面接入服务，以及下一工作日硬件先行更换服务AVR。</t>
  </si>
  <si>
    <t>PPM1-OAWAP1571</t>
  </si>
  <si>
    <t>1个月合作伙伴OAW-AP1571-xx升级服务，包含24*7接入技术支持服务，软件版本更新和升级及服务页面接入服务，以及下一工作日硬件先行更换服务AVR。</t>
  </si>
  <si>
    <t>PPM1-OAWAP1572</t>
  </si>
  <si>
    <t>1个月合作伙伴OAW-AP1572-xx升级服务，包含24*7接入技术支持服务，软件版本更新和升级及服务页面接入服务，以及下一工作日硬件先行更换服务AVR。</t>
  </si>
  <si>
    <t>PP1N-OAWAP1101</t>
  </si>
  <si>
    <t>1年合作伙伴OAW-AP1101-xx升级服务（新购），包含24*7接入技术支持服务，软件版本更新和升级及服务页面接入服务。以及下一工作日硬件先行更换服务AVR。请确认所在国家是否开通该服务。</t>
  </si>
  <si>
    <t>PP1N-AP1201BG</t>
  </si>
  <si>
    <t>1年合作伙伴OAW-AP1201BG-xx升级服务（新购），包含24*7接入技术支持服务，软件版本更新和升级及服务页面接入服务。以及下一工作日硬件先行更换服务AVR。请确认所在国家是否开通该服务。</t>
  </si>
  <si>
    <t>PP1N-OAWAP1201</t>
  </si>
  <si>
    <t>1年合作伙伴OAW-AP1201-xx升级服务（新购），包含24*7接入技术支持服务，软件版本更新和升级及服务页面接入服务。以及下一工作日硬件先行更换服务AVR。请确认所在国家是否开通该服务。</t>
  </si>
  <si>
    <t>PP1N-OAWAP1221</t>
  </si>
  <si>
    <t>1年合作伙伴OAW-AP1221-xx升级服务（新购），包含24*7接入技术支持服务，软件版本更新和升级及服务页面接入服务。以及下一工作日硬件先行更换服务AVR。请确认所在国家是否开通该服务。</t>
  </si>
  <si>
    <t>PP1N-OAWAP1222</t>
  </si>
  <si>
    <t>1年合作伙伴OAW-AP1222-xx升级服务（新购），包含24*7接入技术支持服务，软件版本更新和升级及服务页面接入服务。以及下一工作日硬件先行更换服务AVR。请确认所在国家是否开通该服务。</t>
  </si>
  <si>
    <t>PP1N-OAWAP1231</t>
  </si>
  <si>
    <t>1年合作伙伴OAW-AP1231-xx升级服务（新购），包含24*7接入技术支持服务，软件版本更新和升级及服务页面接入服务。以及下一工作日硬件先行更换服务AVR。请确认所在国家是否开通该服务。</t>
  </si>
  <si>
    <t>PP1N-OAWAP1232</t>
  </si>
  <si>
    <t>1年合作伙伴OAW-AP1232-xx升级服务（新购），包含24*7接入技术支持服务，软件版本更新和升级及服务页面接入服务。以及下一工作日硬件先行更换服务AVR。请确认所在国家是否开通该服务。</t>
  </si>
  <si>
    <t>PP1N-OAWAP1251</t>
  </si>
  <si>
    <t>1年合作伙伴OAW-AP1251-xx升级服务（新购），包含24*7接入技术支持服务，软件版本更新和升级及服务页面接入服务。以及下一工作日硬件先行更换服务AVR。请确认所在国家是否开通该服务。</t>
  </si>
  <si>
    <t>PP1N-OAWAP1261B</t>
  </si>
  <si>
    <t>1年合作伙伴OAW-AP1261B-xx升级服务（新购），包含24*7接入技术支持服务，软件版本更新和升级及服务页面接入服务。以及下一工作日硬件先行更换服务AVR。请确认所在国家是否开通该服务。</t>
  </si>
  <si>
    <t>PP1N-OAWAP1301</t>
  </si>
  <si>
    <t>1年合作伙伴OAW-AP1301-xx升级服务（新购），包含24*7接入技术支持服务，软件版本更新和升级及服务页面接入服务。以及下一工作日硬件先行更换服务AVR。请确认所在国家是否开通该服务。</t>
  </si>
  <si>
    <t>PP1N-OAWAP1301H</t>
  </si>
  <si>
    <t>1年合作伙伴OAW-AP1301H-xx升级服务（新购），包含24*7接入技术支持服务，软件版本更新和升级及服务页面接入服务。以及下一工作日硬件先行更换服务AVR。请确认所在国家是否开通该服务。</t>
  </si>
  <si>
    <t>PP1N-OAWAP1311</t>
  </si>
  <si>
    <t>1年合作伙伴OAW-AP1311-xx升级服务（新购），包含24*7接入技术支持服务，软件版本更新和升级及服务页面接入服务。以及下一工作日硬件先行更换服务AVR。请确认所在国家是否开通该服务。</t>
  </si>
  <si>
    <t>PP1N-OAWAP1320</t>
  </si>
  <si>
    <t>1年合作伙伴OAW-AP1320-xx升级服务（新购），包含24*7接入技术支持服务，软件版本更新和升级及服务页面接入服务。以及下一工作日硬件先行更换服务AVR。请确认所在国家是否开通该服务。</t>
  </si>
  <si>
    <t>PP1N-OAWAP1331</t>
  </si>
  <si>
    <t>1年合作伙伴OAW-AP1331-xx升级服务（新购），包含24*7接入技术支持服务，软件版本更新和升级及服务页面接入服务。以及下一工作日硬件先行更换服务AVR。请确认所在国家是否开通该服务。</t>
  </si>
  <si>
    <t>PP1N-OAWAP1351</t>
  </si>
  <si>
    <t>1年合作伙伴OAW-AP1351-xx升级服务（新购），包含24*7接入技术支持服务，软件版本更新和升级及服务页面接入服务。以及下一工作日硬件先行更换服务AVR。请确认所在国家是否开通该服务。</t>
  </si>
  <si>
    <t>PP1N-OAWAP1360</t>
  </si>
  <si>
    <t>1年合作伙伴OAW-AP1360-xx升级服务（新购），包含24*7接入技术支持服务，软件版本更新和升级及服务页面接入服务。以及下一工作日硬件先行更换服务AVR。请确认所在国家是否开通该服务。</t>
  </si>
  <si>
    <t>PP1N-OAWAP1411</t>
  </si>
  <si>
    <t>1年合作伙伴OAW-AP1411-xx升级服务（新购），包含24*7接入技术支持服务，软件版本更新和升级及服务页面接入服务。以及下一工作日硬件先行更换服务AVR。请确认所在国家是否开通该服务。</t>
  </si>
  <si>
    <t>PP1N-OAWAP1431</t>
  </si>
  <si>
    <t>1年合作伙伴OAW-AP1431-xx升级服务（新购），包含24*7接入技术支持服务，软件版本更新和升级及服务页面接入服务。以及下一工作日硬件先行更换服务AVR。请确认所在国家是否开通该服务。</t>
  </si>
  <si>
    <t>PP1N-OAWAP1451</t>
  </si>
  <si>
    <t>1年合作伙伴OAW-AP1451-xx升级服务（新购），包含24*7接入技术支持服务，软件版本更新和升级及服务页面接入服务。以及下一工作日硬件先行更换服务AVR。请确认所在国家是否开通该服务。</t>
  </si>
  <si>
    <t>PP1N-OAWAP1501</t>
  </si>
  <si>
    <t>1年合作伙伴OAW-AP1501-xx升级服务（新购），包含24*7接入技术支持服务，软件版本更新和升级及服务页面接入服务。以及下一工作日硬件先行更换服务AVR。请确认所在国家是否开通该服务。</t>
  </si>
  <si>
    <t>PP1N-OAWAP1511</t>
  </si>
  <si>
    <t>1年合作伙伴OAW-AP1511-xx升级服务（新购），包含24*7接入技术支持服务，软件版本更新和升级及服务页面接入服务。以及下一工作日硬件先行更换服务AVR。请确认所在国家是否开通该服务。</t>
  </si>
  <si>
    <t>PP1N-OAWAP1521</t>
  </si>
  <si>
    <t>1年合作伙伴OAW-AP1521-xx升级服务（新购），包含24*7接入技术支持服务，软件版本更新和升级及服务页面接入服务。以及下一工作日硬件先行更换服务AVR。请确认所在国家是否开通该服务。</t>
  </si>
  <si>
    <t>PP1N-OAWAP1541</t>
  </si>
  <si>
    <t>1年合作伙伴OAW-AP1541-xx升级服务（新购），包含24*7接入技术支持服务，软件版本更新和升级及服务页面接入服务。以及下一工作日硬件先行更换服务AVR。请确认所在国家是否开通该服务。</t>
  </si>
  <si>
    <t>PP1N-OAWAP1542</t>
  </si>
  <si>
    <t>1年合作伙伴OAW-AP1542-xx升级服务（新购），包含24*7接入技术支持服务，软件版本更新和升级及服务页面接入服务。以及下一工作日硬件先行更换服务AVR。请确认所在国家是否开通该服务。</t>
  </si>
  <si>
    <t>PP1N-OAWAP1561</t>
  </si>
  <si>
    <t>1年合作伙伴OAW-AP1561xx升级服务（新购），包含24*7接入技术支持服务，软件版本更新和升级及服务页面接入服务。以及下一工作日硬件先行更换服务AVR。请确认所在国家是否开通该服务。</t>
  </si>
  <si>
    <t>PP1N-OAWAP1571</t>
  </si>
  <si>
    <t>1年合作伙伴OAW-AP1571-xx升级服务（新购），包含24*7接入技术支持服务，软件版本更新和升级及服务页面接入服务。以及下一工作日硬件先行更换服务AVR。请确认所在国家是否开通该服务。</t>
  </si>
  <si>
    <t>PP1N-OAWAP1572</t>
  </si>
  <si>
    <t>1年合作伙伴OAW-AP1572-xx升级服务（新购），包含24*7接入技术支持服务，软件版本更新和升级及服务页面接入服务。以及下一工作日硬件先行更换服务AVR。请确认所在国家是否开通该服务。</t>
  </si>
  <si>
    <t>PP2N-OAWAP1101</t>
  </si>
  <si>
    <t>2年合作伙伴OAW-AP1101-xx升级服务（新购），包含24*7接入技术支持服务，软件版本更新和升级及服务页面接入服务。以及下一工作日硬件先行更换服务AVR。请确认所在国家是否开通该服务。</t>
  </si>
  <si>
    <t>PP2N-OAWAP1201</t>
  </si>
  <si>
    <t>2年合作伙伴OAW-AP1201-xx升级服务（新购），包含24*7接入技术支持服务，软件版本更新和升级及服务页面接入服务。以及下一工作日硬件先行更换服务AVR。请确认所在国家是否开通该服务。</t>
  </si>
  <si>
    <t>PP2N-AP1201BG</t>
  </si>
  <si>
    <t>2年合作伙伴OAW-AP1201BG-xx升级服务（新购），包含24*7接入技术支持服务，软件版本更新和升级及服务页面接入服务。以及下一工作日硬件先行更换服务AVR。请确认所在国家是否开通该服务。</t>
  </si>
  <si>
    <t>PP2N-OAWAP1221</t>
  </si>
  <si>
    <t>2年合作伙伴OAW-AP1221-xx升级服务（新购），包含24*7接入技术支持服务，软件版本更新和升级及服务页面接入服务。以及下一工作日硬件先行更换服务AVR。请确认所在国家是否开通该服务。</t>
  </si>
  <si>
    <t>PP2N-OAWAP1222</t>
  </si>
  <si>
    <t>2年合作伙伴OAW-AP1222-xx升级服务（新购），包含24*7接入技术支持服务，软件版本更新和升级及服务页面接入服务。以及下一工作日硬件先行更换服务AVR。请确认所在国家是否开通该服务。</t>
  </si>
  <si>
    <t>PP2N-OAWAP1231</t>
  </si>
  <si>
    <t>2年合作伙伴OAW-AP1231-xx升级服务（新购），包含24*7接入技术支持服务，软件版本更新和升级及服务页面接入服务。以及下一工作日硬件先行更换服务AVR。请确认所在国家是否开通该服务。</t>
  </si>
  <si>
    <t>PP2N-OAWAP1232</t>
  </si>
  <si>
    <t>2年合作伙伴OAW-AP1232-xx升级服务（新购），包含24*7接入技术支持服务，软件版本更新和升级及服务页面接入服务。以及下一工作日硬件先行更换服务AVR。请确认所在国家是否开通该服务。</t>
  </si>
  <si>
    <t>PP2N-OAWAP1251</t>
  </si>
  <si>
    <t>2年合作伙伴OAW-AP1251-xx升级服务（新购），包含24*7接入技术支持服务，软件版本更新和升级及服务页面接入服务。以及下一工作日硬件先行更换服务AVR。请确认所在国家是否开通该服务。</t>
  </si>
  <si>
    <t>PP2N-OAWAP1261B</t>
  </si>
  <si>
    <t>2年合作伙伴OAW-AP1261B-xx升级服务（新购），包含24*7接入技术支持服务，软件版本更新和升级及服务页面接入服务。以及下一工作日硬件先行更换服务AVR。请确认所在国家是否开通该服务。</t>
  </si>
  <si>
    <t>PP2N-OAWAP1301</t>
  </si>
  <si>
    <t>2年合作伙伴OAW-AP1301-xx升级服务（新购），包含24*7接入技术支持服务，软件版本更新和升级及服务页面接入服务。以及下一工作日硬件先行更换服务AVR。请确认所在国家是否开通该服务。</t>
  </si>
  <si>
    <t>PP2N-OAWAP1301H</t>
  </si>
  <si>
    <t>2年合作伙伴OAW-AP1301H-xx升级服务（新购），包含24*7接入技术支持服务，软件版本更新和升级及服务页面接入服务。以及下一工作日硬件先行更换服务AVR。请确认所在国家是否开通该服务。</t>
  </si>
  <si>
    <t>PP2N-OAWAP1311</t>
  </si>
  <si>
    <t>2年合作伙伴OAW-AP1311-xx升级服务（新购），包含24*7接入技术支持服务，软件版本更新和升级及服务页面接入服务。以及下一工作日硬件先行更换服务AVR。请确认所在国家是否开通该服务。</t>
  </si>
  <si>
    <t>PP2N-OAWAP1320</t>
  </si>
  <si>
    <t>2年合作伙伴OAW-AP1320-xx升级服务（新购），包含24*7接入技术支持服务，软件版本更新和升级及服务页面接入服务。以及下一工作日硬件先行更换服务AVR。请确认所在国家是否开通该服务。</t>
  </si>
  <si>
    <t>PP2N-OAWAP1331</t>
  </si>
  <si>
    <t>2年合作伙伴OAW-AP1331-xx升级服务（新购），包含24*7接入技术支持服务，软件版本更新和升级及服务页面接入服务。以及下一工作日硬件先行更换服务AVR。请确认所在国家是否开通该服务。</t>
  </si>
  <si>
    <t>PP2N-OAWAP1351</t>
  </si>
  <si>
    <t>2年合作伙伴OAW-AP1351-xx升级服务（新购），包含24*7接入技术支持服务，软件版本更新和升级及服务页面接入服务。以及下一工作日硬件先行更换服务AVR。请确认所在国家是否开通该服务。</t>
  </si>
  <si>
    <t>PP2N-OAWAP1360</t>
  </si>
  <si>
    <t>2年合作伙伴OAW-AP1360-xx升级服务（新购），包含24*7接入技术支持服务，软件版本更新和升级及服务页面接入服务。以及下一工作日硬件先行更换服务AVR。请确认所在国家是否开通该服务。</t>
  </si>
  <si>
    <t>PP2N-OAWAP1411</t>
  </si>
  <si>
    <t>2年合作伙伴OAW-AP1411-xx升级服务（新购），包含24*7接入技术支持服务，软件版本更新和升级及服务页面接入服务。以及下一工作日硬件先行更换服务AVR。请确认所在国家是否开通该服务。</t>
  </si>
  <si>
    <t>PP2N-OAWAP1431</t>
  </si>
  <si>
    <t>2年合作伙伴OAW-AP1431-xx升级服务（新购），包含24*7接入技术支持服务，软件版本更新和升级及服务页面接入服务。以及下一工作日硬件先行更换服务AVR。请确认所在国家是否开通该服务。</t>
  </si>
  <si>
    <t>PP2N-OAWAP1451</t>
  </si>
  <si>
    <t>2年合作伙伴OAW-AP1451-xx升级服务（新购），包含24*7接入技术支持服务，软件版本更新和升级及服务页面接入服务。以及下一工作日硬件先行更换服务AVR。请确认所在国家是否开通该服务。</t>
  </si>
  <si>
    <t>PP2N-OAWAP1501</t>
  </si>
  <si>
    <t>2年合作伙伴OAW-AP1501-xx升级服务（新购），包含24*7接入技术支持服务，软件版本更新和升级及服务页面接入服务。以及下一工作日硬件先行更换服务AVR。请确认所在国家是否开通该服务。</t>
  </si>
  <si>
    <t>PP2N-OAWAP1511</t>
  </si>
  <si>
    <t>2年合作伙伴OAW-AP1511-xx升级服务（新购），包含24*7接入技术支持服务，软件版本更新和升级及服务页面接入服务。以及下一工作日硬件先行更换服务AVR。请确认所在国家是否开通该服务。</t>
  </si>
  <si>
    <t>PP2N-OAWAP1521</t>
  </si>
  <si>
    <t>2年合作伙伴OAW-AP1521-xx升级服务（新购），包含24*7接入技术支持服务，软件版本更新和升级及服务页面接入服务。以及下一工作日硬件先行更换服务AVR。请确认所在国家是否开通该服务。</t>
  </si>
  <si>
    <t>PP2N-OAWAP1541</t>
  </si>
  <si>
    <t>2年合作伙伴OAW-AP1541-xx升级服务（新购），包含24*7接入技术支持服务，软件版本更新和升级及服务页面接入服务。以及下一工作日硬件先行更换服务AVR。请确认所在国家是否开通该服务。</t>
  </si>
  <si>
    <t>PP2N-OAWAP1542</t>
  </si>
  <si>
    <t>2年合作伙伴OAW-AP1542-xx升级服务（新购），包含24*7接入技术支持服务，软件版本更新和升级及服务页面接入服务。以及下一工作日硬件先行更换服务AVR。请确认所在国家是否开通该服务。</t>
  </si>
  <si>
    <t>PP2N-OAWAP1561</t>
  </si>
  <si>
    <t>2年合作伙伴OAW-AP1561-xx升级服务（新购），包含24*7接入技术支持服务，软件版本更新和升级及服务页面接入服务。以及下一工作日硬件先行更换服务AVR。请确认所在国家是否开通该服务。</t>
  </si>
  <si>
    <t>PP2N-OAWAP1571</t>
  </si>
  <si>
    <t>2年合作伙伴OAW-AP1571-xx升级服务（新购），包含24*7接入技术支持服务，软件版本更新和升级及服务页面接入服务。以及下一工作日硬件先行更换服务AVR。请确认所在国家是否开通该服务。</t>
  </si>
  <si>
    <t>PP2N-OAWAP1572</t>
  </si>
  <si>
    <t>2年合作伙伴OAW-AP1572-xx升级服务（新购），包含24*7接入技术支持服务，软件版本更新和升级及服务页面接入服务。以及下一工作日硬件先行更换服务AVR。请确认所在国家是否开通该服务。</t>
  </si>
  <si>
    <t>PP3N-AP1201BG</t>
  </si>
  <si>
    <t>3年合作伙伴OAW-AP1201BG升级服务（新购），包含24*7接入技术支持服务，软件版本更新和升级及服务页面接入服务。以及下一工作日硬件先行更换服务AVR。请确认所在国家是否开通该服务。</t>
  </si>
  <si>
    <t>PP3N-OAWAP1201</t>
  </si>
  <si>
    <t>3年合作伙伴OAW-AP1201-xx升级服务（新购），包含24*7接入技术支持服务，软件版本更新和升级及服务页面接入服务。以及下一工作日硬件先行更换服务AVR。请确认所在国家是否开通该服务。</t>
  </si>
  <si>
    <t>PP3N-OAWAP1231</t>
  </si>
  <si>
    <t>3年合作伙伴OAW-AP1231-xx升级服务（新购），包含24*7接入技术支持服务，软件版本更新和升级及服务页面接入服务。以及下一工作日硬件先行更换服务AVR。请确认所在国家是否开通该服务。</t>
  </si>
  <si>
    <t>PP3N-OAWAP1232</t>
  </si>
  <si>
    <t>3年合作伙伴OAW-AP1232-xx升级服务（新购），包含24*7接入技术支持服务，软件版本更新和升级及服务页面接入服务。以及下一工作日硬件先行更换服务AVR。请确认所在国家是否开通该服务。</t>
  </si>
  <si>
    <t>PP3N-OAWAP1251</t>
  </si>
  <si>
    <t>3年合作伙伴OAW-AP1251-xx升级服务（新购），包含24*7接入技术支持服务，软件版本更新和升级及服务页面接入服务。以及下一工作日硬件先行更换服务AVR。请确认所在国家是否开通该服务。</t>
  </si>
  <si>
    <t>PP3N-OAWAP1261B</t>
  </si>
  <si>
    <t>3年合作伙伴OAW-AP1261B-xx升级服务（新购），包含24*7接入技术支持服务，软件版本更新和升级及服务页面接入服务。以及下一工作日硬件先行更换服务AVR。请确认所在国家是否开通该服务。</t>
  </si>
  <si>
    <t>PP3N-OAWAP1301H</t>
  </si>
  <si>
    <t>3年合作伙伴OAW-AP1301H-xx升级服务（新购），包含24*7接入技术支持服务，软件版本更新和升级及服务页面接入服务。以及下一工作日硬件先行更换服务AVR。请确认所在国家是否开通该服务。</t>
  </si>
  <si>
    <t>PP3N-OAWAP1301</t>
  </si>
  <si>
    <t>3年合作伙伴OAW-AP1301-xx升级服务（新购），包含24*7接入技术支持服务，软件版本更新和升级及服务页面接入服务。以及下一工作日硬件先行更换服务AVR。请确认所在国家是否开通该服务。</t>
  </si>
  <si>
    <t>PP3N-OAWAP1311</t>
  </si>
  <si>
    <t>3年合作伙伴OAW-AP1311-xx升级服务（新购），包含24*7接入技术支持服务，软件版本更新和升级及服务页面接入服务。以及下一工作日硬件先行更换服务AVR。请确认所在国家是否开通该服务。</t>
  </si>
  <si>
    <t>PP3N-OAWAP1320</t>
  </si>
  <si>
    <t>3年合作伙伴OAW-AP132x-xx升级服务（新购），包含24*7接入技术支持服务，软件版本更新和升级及服务页面接入服务。以及下一工作日硬件先行更换服务AVR。请确认所在国家是否开通该服务。</t>
  </si>
  <si>
    <t>PP3N-OAWAP1331</t>
  </si>
  <si>
    <t>3年合作伙伴OAW-AP1331-xx升级服务（新购），包含24*7接入技术支持服务，软件版本更新和升级及服务页面接入服务，以及下一工作日硬件先行更换服务AVR。请确认所在国家是否开通该服务。</t>
  </si>
  <si>
    <t>PP3N-OAWAP1351</t>
  </si>
  <si>
    <t>3年合作伙伴OAW-AP1351-xx升级服务（新购），包含24*7接入技术支持服务，软件版本更新和升级及服务页面接入服务。以及下一工作日硬件先行更换服务AVR。请确认所在国家是否开通该服务。</t>
  </si>
  <si>
    <t>PP3N-OAWAP1360</t>
  </si>
  <si>
    <t>3年合作伙伴OAW-AP136x-xx升级服务（新购），包含24*7接入技术支持服务，软件版本更新和升级及服务页面接入服务。以及下一工作日硬件先行更换服务AVR。请确认所在国家是否开通该服务。</t>
  </si>
  <si>
    <t>PP3N-OAWAP1411</t>
  </si>
  <si>
    <t>3年合作伙伴OAW-AP1411-xx升级服务（新购），包含24*7接入技术支持服务，软件版本更新和升级及服务页面接入服务。以及下一工作日硬件先行更换服务AVR。请确认所在国家是否开通该服务。</t>
  </si>
  <si>
    <t>PP3N-OAWAP1431</t>
  </si>
  <si>
    <t>3年合作伙伴OAW-AP1431-xx升级服务（新购），包含24*7接入技术支持服务，软件版本更新和升级及服务页面接入服务。以及下一工作日硬件先行更换服务AVR。请确认所在国家是否开通该服务。</t>
  </si>
  <si>
    <t>PP3N-OAWAP1451</t>
  </si>
  <si>
    <t>3年合作伙伴OAW-AP1451-xx升级服务（新购），包含24*7接入技术支持服务，软件版本更新和升级及服务页面接入服务。以及下一工作日硬件先行更换服务AVR。请确认所在国家是否开通该服务。</t>
  </si>
  <si>
    <t>PP3N-OAWAP1501</t>
  </si>
  <si>
    <t>3年合作伙伴OAW-AP1501-xx升级服务（新购），包含24*7接入技术支持服务，软件版本更新和升级及服务页面接入服务。以及下一工作日硬件先行更换服务AVR。请确认所在国家是否开通该服务。</t>
  </si>
  <si>
    <t>PP3N-OAWAP1511</t>
  </si>
  <si>
    <t>3年合作伙伴OAW-AP1511-xx升级服务（新购），包含24*7接入技术支持服务，软件版本更新和升级及服务页面接入服务。以及下一工作日硬件先行更换服务AVR。请确认所在国家是否开通该服务。</t>
  </si>
  <si>
    <t>PP3N-OAWAP1521</t>
  </si>
  <si>
    <t>3年合作伙伴OAW-AP1521-xx升级服务（新购），包含24*7接入技术支持服务，软件版本更新和升级及服务页面接入服务。以及下一工作日硬件先行更换服务AVR。请确认所在国家是否开通该服务。</t>
  </si>
  <si>
    <t>PP3N-OAWAP1541</t>
  </si>
  <si>
    <t>3年合作伙伴OAW-AP1541-xx升级服务（新购），包含24*7接入技术支持服务，软件版本更新和升级及服务页面接入服务。以及下一工作日硬件先行更换服务AVR。请确认所在国家是否开通该服务。</t>
  </si>
  <si>
    <t>PP3N-OAWAP1542</t>
  </si>
  <si>
    <t>3年合作伙伴OAW-AP1542-xx升级服务（新购），包含24*7接入技术支持服务，软件版本更新和升级及服务页面接入服务。以及下一工作日硬件先行更换服务AVR。请确认所在国家是否开通该服务。</t>
  </si>
  <si>
    <t>PP3N-OAWAP1561</t>
  </si>
  <si>
    <t>3年合作伙伴OAW-AP1561-xx升级服务（新购），包含24*7接入技术支持服务，软件版本更新和升级及服务页面接入服务。以及下一工作日硬件先行更换服务AVR。请确认所在国家是否开通该服务。</t>
  </si>
  <si>
    <t>PP3N-OAWAP1571</t>
  </si>
  <si>
    <t>3年合作伙伴OAW-AP1571-xx升级服务（新购），包含24*7接入技术支持服务，软件版本更新和升级及服务页面接入服务。以及下一工作日硬件先行更换服务AVR。请确认所在国家是否开通该服务。</t>
  </si>
  <si>
    <t>PP3N-OAWAP1572</t>
  </si>
  <si>
    <t>3年合作伙伴OAW-AP1572-xx升级服务（新购），包含24*7接入技术支持服务，软件版本更新和升级及服务页面接入服务。以及下一工作日硬件先行更换服务AVR。请确认所在国家是否开通该服务。</t>
  </si>
  <si>
    <t>PP5N-AP1201BG</t>
  </si>
  <si>
    <t>5年合作伙伴OAW-AP1201BG升级服务（新购），包含24*7接入技术支持服务，软件版本更新和升级及服务页面接入服务。以及下一工作日硬件先行更换服务AVR。请确认所在国家是否开通该服务。</t>
  </si>
  <si>
    <t>PP5N-OAWAP1201</t>
  </si>
  <si>
    <t>5年合作伙伴OAW-AP1201-xx升级服务（新购），包含24*7接入技术支持服务，软件版本更新和升级及服务页面接入服务。以及下一工作日硬件先行更换服务AVR。请确认所在国家是否开通该服务。</t>
  </si>
  <si>
    <t>PP5N-OAWAP1231</t>
  </si>
  <si>
    <t>5年合作伙伴OAW-AP1231-xx升级服务（新购），包含24*7接入技术支持服务，软件版本更新和升级及服务页面接入服务。以及下一工作日硬件先行更换服务AVR。请确认所在国家是否开通该服务。</t>
  </si>
  <si>
    <t>PP5N-OAWAP1232</t>
  </si>
  <si>
    <t>5年合作伙伴OAW-AP1232-xx升级服务（新购），包含24*7接入技术支持服务，软件版本更新和升级及服务页面接入服务。以及下一工作日硬件先行更换服务AVR。请确认所在国家是否开通该服务。</t>
  </si>
  <si>
    <t>PP5N-OAWAP1261B</t>
  </si>
  <si>
    <t>5年合作伙伴OAW-AP1261B-xx升级服务（新购），包含24*7接入技术支持服务，软件版本更新和升级及服务页面接入服务。以及下一工作日硬件先行更换服务AVR。请确认所在国家是否开通该服务。</t>
  </si>
  <si>
    <t>PP5N-OAWAP1301H</t>
  </si>
  <si>
    <t>5年合作伙伴OAW-AP1301H-xx升级服务（新购），包含24*7接入技术支持服务，软件版本更新和升级及服务页面接入服务。以及下一工作日硬件先行更换服务AVR。请确认所在国家是否开通该服务。</t>
  </si>
  <si>
    <t>PP5N-OAWAP1301</t>
  </si>
  <si>
    <t>5年合作伙伴OAW-AP1301-xx升级服务（新购），包含24*7接入技术支持服务，软件版本更新和升级及服务页面接入服务。以及下一工作日硬件先行更换服务AVR。请确认所在国家是否开通该服务。</t>
  </si>
  <si>
    <t>PP5N-OAWAP1311</t>
  </si>
  <si>
    <t>5年合作伙伴OAW-AP1311-xx升级服务（新购），包含24*7接入技术支持服务，软件版本更新和升级及服务页面接入服务。以及下一工作日硬件先行更换服务AVR。请确认所在国家是否开通该服务。</t>
  </si>
  <si>
    <t>PP5N-OAWAP1320</t>
  </si>
  <si>
    <t>5年合作伙伴OAW-AP132x-xx升级服务（新购），包含24*7接入技术支持服务，软件版本更新和升级及服务页面接入服务。以及下一工作日硬件先行更换服务AVR。请确认所在国家是否开通该服务。</t>
  </si>
  <si>
    <t>PP5N-OAWAP1331</t>
  </si>
  <si>
    <t>5年合作伙伴OAW-AP1331-xx升级服务（新购），包含24*7接入技术支持服务，软件版本更新和升级及服务页面接入服务。以及下一工作日硬件先行更换服务AVR。请确认所在国家是否开通该服务。</t>
  </si>
  <si>
    <t>PP5N-OAWAP1351</t>
  </si>
  <si>
    <t>5年合作伙伴OAW-AP1351-xx升级服务（新购），包含24*7接入技术支持服务，软件版本更新和升级及服务页面接入服务。以及下一工作日硬件先行更换服务AVR。请确认所在国家是否开通该服务。</t>
  </si>
  <si>
    <t>PP5N-OAWAP1360</t>
  </si>
  <si>
    <t>5年合作伙伴OAW-AP136x-xx升级服务（新购），包含24*7接入技术支持服务，软件版本更新和升级及服务页面接入服务。以及下一工作日硬件先行更换服务AVR。请确认所在国家是否开通该服务。</t>
  </si>
  <si>
    <t>PP5N-OAWAP1411</t>
  </si>
  <si>
    <t>5年合作伙伴OAW-AP1411-xx升级服务（新购），包含24*7接入技术支持服务，软件版本更新和升级及服务页面接入服务。以及下一工作日硬件先行更换服务AVR。请确认所在国家是否开通该服务。</t>
  </si>
  <si>
    <t>PP5N-OAWAP1431</t>
  </si>
  <si>
    <t>5年合作伙伴OAW-AP1431-xx升级服务（新购），包含24*7接入技术支持服务，软件版本更新和升级及服务页面接入服务。以及下一工作日硬件先行更换服务AVR。请确认所在国家是否开通该服务。</t>
  </si>
  <si>
    <t>PP5N-OAWAP1451</t>
  </si>
  <si>
    <t>5年合作伙伴OAW-AP1451-xx升级服务（新购），包含24*7接入技术支持服务，软件版本更新和升级及服务页面接入服务。以及下一工作日硬件先行更换服务AVR。请确认所在国家是否开通该服务。</t>
  </si>
  <si>
    <t>PP5N-OAWAP1501</t>
  </si>
  <si>
    <t>5年合作伙伴OAW-AP1501-xx升级服务（新购），包含24*7接入技术支持服务，软件版本更新和升级及服务页面接入服务。以及下一工作日硬件先行更换服务AVR。请确认所在国家是否开通该服务。</t>
  </si>
  <si>
    <t>PP5N-OAWAP1511</t>
  </si>
  <si>
    <t>5年合作伙伴OAW-AP1511-xx升级服务（新购），包含24*7接入技术支持服务，软件版本更新和升级及服务页面接入服务。以及下一工作日硬件先行更换服务AVR。请确认所在国家是否开通该服务。</t>
  </si>
  <si>
    <t>PP5N-OAWAP1521</t>
  </si>
  <si>
    <t>5年合作伙伴OAW-AP1521-xx升级服务（新购），包含24*7接入技术支持服务，软件版本更新和升级及服务页面接入服务。以及下一工作日硬件先行更换服务AVR。请确认所在国家是否开通该服务。</t>
  </si>
  <si>
    <t>PP5N-OAWAP1541</t>
  </si>
  <si>
    <t>5年合作伙伴OAW-AP1541-xx升级服务（新购），包含24*7接入技术支持服务，软件版本更新和升级及服务页面接入服务。以及下一工作日硬件先行更换服务AVR。请确认所在国家是否开通该服务。</t>
  </si>
  <si>
    <t>PP5N-OAWAP1542</t>
  </si>
  <si>
    <t>5年合作伙伴OAW-AP1542-xx升级服务（新购），包含24*7接入技术支持服务，软件版本更新和升级及服务页面接入服务。以及下一工作日硬件先行更换服务AVR。请确认所在国家是否开通该服务。</t>
  </si>
  <si>
    <t>PP5N-OAWAP1561</t>
  </si>
  <si>
    <t>5年合作伙伴OAW-AP1561-xx升级服务（新购），包含24*7接入技术支持服务，软件版本更新和升级及服务页面接入服务。以及下一工作日硬件先行更换服务AVR。请确认所在国家是否开通该服务。</t>
  </si>
  <si>
    <t>PP5N-OAWAP1571</t>
  </si>
  <si>
    <t>5年合作伙伴OAW-AP1571-xx升级服务（新购），包含24*7接入技术支持服务，软件版本更新和升级及服务页面接入服务。以及下一工作日硬件先行更换服务AVR。请确认所在国家是否开通该服务。</t>
  </si>
  <si>
    <t>PP5N-OAWAP1572</t>
  </si>
  <si>
    <t>5年合作伙伴OAW-AP1572-xx升级服务（新购），包含24*7接入技术支持服务，软件版本更新和升级及服务页面接入服务。以及下一工作日硬件先行更换服务AVR。请确认所在国家是否开通该服务。</t>
  </si>
  <si>
    <t>PWM1-OAWAP1101</t>
  </si>
  <si>
    <t>1个月合作伙伴OAW-AP1101-xx系列软件支持服务，包含24*7接入技术支持服务，软件版本更新和升级及服务页面接入服务</t>
  </si>
  <si>
    <t>PWM1-OAWAP1201</t>
  </si>
  <si>
    <t>1个月合作伙伴OAW-AP1201-xx系列软件支持服务，包含24*7接入技术支持服务，软件版本更新和升级及服务页面接入服务</t>
  </si>
  <si>
    <t>PWM1-OAWAP1221</t>
  </si>
  <si>
    <t>1个月合作伙伴OAW-AP1221-xx系列软件支持服务，包含24*7接入技术支持服务，软件版本更新和升级及服务页面接入服务</t>
  </si>
  <si>
    <t>PWM1-OAWAP1222</t>
  </si>
  <si>
    <t>1个月合作伙伴OAW-AP1222-xx系列软件支持服务，包含24*7接入技术支持服务，软件版本更新和升级及服务页面接入服务</t>
  </si>
  <si>
    <t>PWM1-OAWAP1231</t>
  </si>
  <si>
    <t>1个月合作伙伴OAW-AP1231-xx系列软件支持服务，包含24*7接入技术支持服务，软件版本更新和升级及服务页面接入服务</t>
  </si>
  <si>
    <t>PWM1-OAWAP1232</t>
  </si>
  <si>
    <t>1个月合作伙伴OAW-AP1232-xx系列软件支持服务，包含24*7接入技术支持服务，软件版本更新和升级及服务页面接入服务</t>
  </si>
  <si>
    <t>PWM1-OAWAP1251</t>
  </si>
  <si>
    <t>1个月合作伙伴OAW-AP1251-xx系列软件支持服务，包含24*7接入技术支持服务，软件版本更新和升级及服务页面接入服务</t>
  </si>
  <si>
    <t>PWM1-OAWAP1261B</t>
  </si>
  <si>
    <t>1个月合作伙伴OAW-AP1261B-xx系列软件支持服务，包含24*7接入技术支持服务，软件版本更新和升级及服务页面接入服务</t>
  </si>
  <si>
    <t>PWM1-OAWAP1301H</t>
  </si>
  <si>
    <t>1个月合作伙伴OAW-AP1301H-xx系列软件支持服务，包含24*7接入技术支持服务，软件版本更新和升级及服务页面接入服务</t>
  </si>
  <si>
    <t>PWM1-OAWAP1301</t>
  </si>
  <si>
    <t>1个月合作伙伴OAW-AP1301-xx系列软件支持服务，包含24*7接入技术支持服务，软件版本更新和升级及服务页面接入服务</t>
  </si>
  <si>
    <t>PWM1-OAWAP1311</t>
  </si>
  <si>
    <t>1个月合作伙伴OAW-AP1311-xx系列软件支持服务，包含24*7接入技术支持服务，软件版本更新和升级及服务页面接入服务</t>
  </si>
  <si>
    <t>PWM1-OAWAP1320</t>
  </si>
  <si>
    <t>1个月合作伙伴OAW-AP1320-xx系列软件支持服务，包含24*7接入技术支持服务，软件版本更新和升级及服务页面接入服务</t>
  </si>
  <si>
    <t>PWM1-OAWAP1331</t>
  </si>
  <si>
    <t>1个月合作伙伴OAW-AP1331-xx系列软件支持服务，包含24*7接入技术支持服务，软件版本更新和升级及服务页面接入服务</t>
  </si>
  <si>
    <t>PWM1-OAWAP1351</t>
  </si>
  <si>
    <t>1个月合作伙伴OAW-AP1351-xx系列软件支持服务，包含24*7接入技术支持服务，软件版本更新和升级及服务页面接入服务</t>
  </si>
  <si>
    <t>PWM1-OAWAP1360</t>
  </si>
  <si>
    <t>1个月合作伙伴OAW-AP1360-xx系列软件支持服务，包含24*7接入技术支持服务，软件版本更新和升级及服务页面接入服务</t>
  </si>
  <si>
    <t>PWM1-OAWAP1411</t>
  </si>
  <si>
    <t>1个月合作伙伴OAW-AP1411-xx系列软件支持服务，包含24*7接入技术支持服务，软件版本更新和升级及服务页面接入服务</t>
  </si>
  <si>
    <t>PWM1-OAWAP1431</t>
  </si>
  <si>
    <t>1个月合作伙伴OAW-AP1431-xx系列软件支持服务，包含24*7接入技术支持服务，软件版本更新和升级及服务页面接入服务</t>
  </si>
  <si>
    <t>PWM1-OAWAP1451</t>
  </si>
  <si>
    <t>1个月合作伙伴OAW-AP1451-xx系列软件支持服务，包含24*7接入技术支持服务，软件版本更新和升级及服务页面接入服务</t>
  </si>
  <si>
    <t>PWM1-OAWAP1501</t>
  </si>
  <si>
    <t>1个月合作伙伴OAW-AP1501-xx系列软件支持服务，包含24*7接入技术支持服务，软件版本更新和升级及服务页面接入服务</t>
  </si>
  <si>
    <t>PWM1-OAWAP1511</t>
  </si>
  <si>
    <t>1个月合作伙伴OAW-AP1511-xx系列软件支持服务，包含24*7接入技术支持服务，软件版本更新和升级及服务页面接入服务</t>
  </si>
  <si>
    <t>PWM1-OAWAP1521</t>
  </si>
  <si>
    <t>1个月合作伙伴OAW-AP1521-xx系列软件支持服务，包含24*7接入技术支持服务，软件版本更新和升级及服务页面接入服务</t>
  </si>
  <si>
    <t>PWM1-OAWAP1541</t>
  </si>
  <si>
    <t>1个月合作伙伴OAW-AP1541-xx系列软件支持服务，包含24*7接入技术支持服务，软件版本更新和升级及服务页面接入服务</t>
  </si>
  <si>
    <t>PWM1-OAWAP1542</t>
  </si>
  <si>
    <t>1个月合作伙伴OAW-AP1542-xx系列软件支持服务，包含24*7接入技术支持服务，软件版本更新和升级及服务页面接入服务</t>
  </si>
  <si>
    <t>PWM1-OAWAP1561</t>
  </si>
  <si>
    <t>1个月合作伙伴OAW-AP1561-xx系列软件支持服务，包含24*7接入技术支持服务，软件版本更新和升级及服务页面接入服务</t>
  </si>
  <si>
    <t>PWM1-OAWAP1571</t>
  </si>
  <si>
    <t>1个月合作伙伴OAW-AP1571-xx系列软件支持服务，包含24*7接入技术支持服务，软件版本更新和升级及服务页面接入服务</t>
  </si>
  <si>
    <t>PWM1-OAWAP1572</t>
  </si>
  <si>
    <t>1个月合作伙伴OAW-AP1572-xx系列软件支持服务，包含24*7接入技术支持服务，软件版本更新和升级及服务页面接入服务</t>
  </si>
  <si>
    <t>PW1N-OAWAP1101</t>
  </si>
  <si>
    <t>1年合作伙伴OAW-AP1101-xx系列软件支持服务（新购），包含24*7接入技术支持服务，软件版本更新和升级及服务页面接入服务</t>
  </si>
  <si>
    <t>PW1N-AP1201BG</t>
  </si>
  <si>
    <t>1年合作伙伴OAW-AP1360-xx系列软件支持服务（新购），包含24*7接入技术支持服务，软件版本更新和升级及服务页面接入服务</t>
  </si>
  <si>
    <t>PW1N-OAWAP1201</t>
  </si>
  <si>
    <t>1年合作伙伴OAW-AP1201-xx系列软件支持服务（新购），包含24*7接入技术支持服务，软件版本更新和升级及服务页面接入服务</t>
  </si>
  <si>
    <t>PW1N-OAWAP1221</t>
  </si>
  <si>
    <t>1年合作伙伴OAW-AP1221-xx系列软件支持服务（新购），包含24*7接入技术支持服务，软件版本更新和升级及服务页面接入服务</t>
  </si>
  <si>
    <t>PW1N-OAWAP1222</t>
  </si>
  <si>
    <t>1年合作伙伴OAW-AP1222-xx系列软件支持服务（新购），包含24*7接入技术支持服务，软件版本更新和升级及服务页面接入服务</t>
  </si>
  <si>
    <t>PW1N-OAWAP1231</t>
  </si>
  <si>
    <t>1年合作伙伴OAW-AP1231-xx系列软件支持服务（新购），包含24*7接入技术支持服务，软件版本更新和升级及服务页面接入服务</t>
  </si>
  <si>
    <t>PW1N-OAWAP1232</t>
  </si>
  <si>
    <t>1年合作伙伴OAW-AP1232-xx系列软件支持服务（新购），包含24*7接入技术支持服务，软件版本更新和升级及服务页面接入服务</t>
  </si>
  <si>
    <t>PW1N-OAWAP1251</t>
  </si>
  <si>
    <t>1年合作伙伴OAW-AP1251-xx系列软件支持服务（新购），包含24*7接入技术支持服务，软件版本更新和升级及服务页面接入服务</t>
  </si>
  <si>
    <t>PW1N-OAWAP1261B</t>
  </si>
  <si>
    <t>1年合作伙伴OAW-AP1261B-xx系列软件支持服务（新购），包含24*7接入技术支持服务，软件版本更新和升级及服务页面接入服务</t>
  </si>
  <si>
    <t>PW1N-OAWAP1301</t>
  </si>
  <si>
    <t>1年合作伙伴OAW-AP1301-xx系列软件支持服务（新购），包含24*7接入技术支持服务，软件版本更新和升级及服务页面接入服务</t>
  </si>
  <si>
    <t>PW1N-OAWAP1301H</t>
  </si>
  <si>
    <t>1年合作伙伴OAW-AP1301H-xx系列软件支持服务（新购），包含24*7接入技术支持服务，软件版本更新和升级及服务页面接入服务</t>
  </si>
  <si>
    <t>PW1N-OAWAP1311</t>
  </si>
  <si>
    <t>1年合作伙伴OAW-AP1331-xx系列软件支持服务（新购），包含24*7接入技术支持服务，软件版本更新和升级及服务页面接入服务</t>
  </si>
  <si>
    <t>PW1N-OAWAP1320</t>
  </si>
  <si>
    <t>1年合作伙伴OAW-AP1320-xx系列软件支持服务（新购），包含24*7接入技术支持服务，软件版本更新和升级及服务页面接入服务</t>
  </si>
  <si>
    <t>PW1N-OAWAP1331</t>
  </si>
  <si>
    <t>PW1N-OAWAP1351</t>
  </si>
  <si>
    <t>1年合作伙伴OAW-AP1351-xx系列软件支持服务（新购），包含24*7接入技术支持服务，软件版本更新和升级及服务页面接入服务</t>
  </si>
  <si>
    <t>PW1N-OAWAP1360</t>
  </si>
  <si>
    <t>PW1N-OAWAP1411</t>
  </si>
  <si>
    <t>1年合作伙伴OAW-AP1341-xx系列软件支持服务（新购），包含24*7接入技术支持服务，软件版本更新和升级及服务页面接入服务</t>
  </si>
  <si>
    <t>PW1N-OAWAP1431</t>
  </si>
  <si>
    <t>1年合作伙伴OAW-AP1431-xx系列软件支持服务（新购），包含24*7接入技术支持服务，软件版本更新和升级及服务页面接入服务</t>
  </si>
  <si>
    <t>PW1N-OAWAP1451</t>
  </si>
  <si>
    <t>1年合作伙伴OAW-AP1451-xx系列软件支持服务（新购），包含24*7接入技术支持服务，软件版本更新和升级及服务页面接入服务</t>
  </si>
  <si>
    <t>PW1N-OAWAP1501</t>
  </si>
  <si>
    <t>1年合作伙伴OAW-AP1501-xx系列软件支持服务（新购），包含24*7接入技术支持服务，软件版本更新和升级及服务页面接入服务</t>
  </si>
  <si>
    <t>PW1N-OAWAP1511</t>
  </si>
  <si>
    <t>1年合作伙伴OAW-AP1511-xx系列软件支持服务（新购），包含24*7接入技术支持服务，软件版本更新和升级及服务页面接入服务</t>
  </si>
  <si>
    <t>PW1N-OAWAP1521</t>
  </si>
  <si>
    <t>1年合作伙伴OAW-AP1521-xx系列软件支持服务（新购），包含24*7接入技术支持服务，软件版本更新和升级及服务页面接入服务</t>
  </si>
  <si>
    <t>PW1N-OAWAP1541</t>
  </si>
  <si>
    <t>1年合作伙伴OAW-AP1541-xx系列软件支持服务（新购），包含24*7接入技术支持服务，软件版本更新和升级及服务页面接入服务</t>
  </si>
  <si>
    <t>PW1N-OAWAP1542</t>
  </si>
  <si>
    <t>1年合作伙伴OAW-AP1542-xx系列软件支持服务（新购），包含24*7接入技术支持服务，软件版本更新和升级及服务页面接入服务</t>
  </si>
  <si>
    <t>PW1N-OAWAP1561</t>
  </si>
  <si>
    <t>1年合作伙伴OAW-AP1561-xx系列软件支持服务（新购），包含24*7接入技术支持服务，软件版本更新和升级及服务页面接入服务</t>
  </si>
  <si>
    <t>PW1N-OAWAP1571</t>
  </si>
  <si>
    <t>1年合作伙伴OAW-AP1571-xx系列软件支持服务（新购），包含24*7接入技术支持服务，软件版本更新和升级及服务页面接入服务</t>
  </si>
  <si>
    <t>PW1N-OAWAP1572</t>
  </si>
  <si>
    <t>1年合作伙伴OAW-AP1572-xx系列软件支持服务（新购），包含24*7接入技术支持服务，软件版本更新和升级及服务页面接入服务</t>
  </si>
  <si>
    <t>PW2N-OAWAP1101</t>
  </si>
  <si>
    <t>2年合作伙伴OAW-AP1101-xx系列软件支持服务（新购），包含24*7接入技术支持服务，软件版本更新和升级及服务页面接入服务</t>
  </si>
  <si>
    <t>PW2N-AP1201BG</t>
  </si>
  <si>
    <t>2年合作伙伴OAW-AP1201BG-xx系列软件支持服务（新购），包含24*7接入技术支持服务，软件版本更新和升级及服务页面接入服务</t>
  </si>
  <si>
    <t>PW2N-OAWAP1201</t>
  </si>
  <si>
    <t>2年合作伙伴OAW-AP1201-xx系列软件支持服务（新购），包含24*7接入技术支持服务，软件版本更新和升级及服务页面接入服务</t>
  </si>
  <si>
    <t>PW2N-OAWAP1221</t>
  </si>
  <si>
    <t>2年合作伙伴OAW-AP1221-xx系列软件支持服务（新购），包含24*7接入技术支持服务，软件版本更新和升级及服务页面接入服务</t>
  </si>
  <si>
    <t>PW2N-OAWAP1222</t>
  </si>
  <si>
    <t>2年合作伙伴OAW-AP1222-xx系列软件支持服务（新购），包含24*7接入技术支持服务，软件版本更新和升级及服务页面接入服务</t>
  </si>
  <si>
    <t>PW2N-OAWAP1231</t>
  </si>
  <si>
    <t>2年合作伙伴OAW-AP1231-xx系列软件支持服务（新购），包含24*7接入技术支持服务，软件版本更新和升级及服务页面接入服务</t>
  </si>
  <si>
    <t>PW2N-OAWAP1232</t>
  </si>
  <si>
    <t>2年合作伙伴OAW-AP1232-xx系列软件支持服务（新购），包含24*7接入技术支持服务，软件版本更新和升级及服务页面接入服务</t>
  </si>
  <si>
    <t>PW2N-OAWAP1251</t>
  </si>
  <si>
    <t>2年合作伙伴OAW-AP1251-xx系列软件支持服务（新购），包含24*7接入技术支持服务，软件版本更新和升级及服务页面接入服务</t>
  </si>
  <si>
    <t>PW2N-OAWAP1261B</t>
  </si>
  <si>
    <t>2年合作伙伴OAW-AP1261B-xx系列软件支持服务（新购），包含24*7接入技术支持服务，软件版本更新和升级及服务页面接入服务</t>
  </si>
  <si>
    <t>PW2N-OAWAP1301</t>
  </si>
  <si>
    <t>2年合作伙伴OAW-AP1301-xx系列软件支持服务（新购），包含24*7接入技术支持服务，软件版本更新和升级及服务页面接入服务</t>
  </si>
  <si>
    <t>PW2N-OAWAP1301H</t>
  </si>
  <si>
    <t>2年合作伙伴OAW-AP1301H-xx系列软件支持服务（新购），包含24*7接入技术支持服务，软件版本更新和升级及服务页面接入服务</t>
  </si>
  <si>
    <t>PW2N-OAWAP1311</t>
  </si>
  <si>
    <t>2年合作伙伴OAW-AP1331-xx系列软件支持服务（新购），包含24*7接入技术支持服务，软件版本更新和升级及服务页面接入服务</t>
  </si>
  <si>
    <t>PW2N-OAWAP1320</t>
  </si>
  <si>
    <t>2年合作伙伴OAW-AP1320-xx系列软件支持服务（新购），包含24*7接入技术支持服务，软件版本更新和升级及服务页面接入服务</t>
  </si>
  <si>
    <t>PW2N-OAWAP1331</t>
  </si>
  <si>
    <t>PW2N-OAWAP1351</t>
  </si>
  <si>
    <t>2年合作伙伴OAW-AP1351-xx系列软件支持服务（新购），包含24*7接入技术支持服务，软件版本更新和升级及服务页面接入服务</t>
  </si>
  <si>
    <t>PW2N-OAWAP1360</t>
  </si>
  <si>
    <t>2年合作伙伴OAW-AP1360-xx系列软件支持服务（新购），包含24*7接入技术支持服务，软件版本更新和升级及服务页面接入服务</t>
  </si>
  <si>
    <t>PW2N-OAWAP1411</t>
  </si>
  <si>
    <t>2年合作伙伴OAW-AP1411-xx系列软件支持服务（新购），包含24*7接入技术支持服务，软件版本更新和升级及服务页面接入服务</t>
  </si>
  <si>
    <t>PW2N-OAWAP1431</t>
  </si>
  <si>
    <t>2年合作伙伴OAW-AP1431-xx系列软件支持服务（新购），包含24*7接入技术支持服务，软件版本更新和升级及服务页面接入服务</t>
  </si>
  <si>
    <t>PW2N-OAWAP1451</t>
  </si>
  <si>
    <t>2年合作伙伴OAW-AP1451-xx系列软件支持服务（新购），包含24*7接入技术支持服务，软件版本更新和升级及服务页面接入服务</t>
  </si>
  <si>
    <t>PW2N-OAWAP1511</t>
  </si>
  <si>
    <t>2年合作伙伴OAW-AP1511-xx系列软件支持服务（新购），包含24*7接入技术支持服务，软件版本更新和升级及服务页面接入服务</t>
  </si>
  <si>
    <t>PW2N-OAWAP1501</t>
  </si>
  <si>
    <t>2年合作伙伴OAW-AP1501-xx系列软件支持服务（新购），包含24*7接入技术支持服务，软件版本更新和升级及服务页面接入服务</t>
  </si>
  <si>
    <t>PW2N-OAWAP1521</t>
  </si>
  <si>
    <t>2年合作伙伴OAW-AP1521-xx系列软件支持服务（新购），包含24*7接入技术支持服务，软件版本更新和升级及服务页面接入服务</t>
  </si>
  <si>
    <t>PW2N-OAWAP1541</t>
  </si>
  <si>
    <t>2年合作伙伴OAW-AP1541-xx系列软件支持服务（新购），包含24*7接入技术支持服务，软件版本更新和升级及服务页面接入服务</t>
  </si>
  <si>
    <t>PW2N-OAWAP1542</t>
  </si>
  <si>
    <t>2年合作伙伴OAW-AP1542-xx系列软件支持服务（新购），包含24*7接入技术支持服务，软件版本更新和升级及服务页面接入服务</t>
  </si>
  <si>
    <t>PW2N-OAWAP1561</t>
  </si>
  <si>
    <t>2年合作伙伴OAW-AP1561-xx系列软件支持服务（新购），包含24*7接入技术支持服务，软件版本更新和升级及服务页面接入服务</t>
  </si>
  <si>
    <t>PW2N-OAWAP1571</t>
  </si>
  <si>
    <t>2年合作伙伴OAW-AP1571-xx系列软件支持服务（新购），包含24*7接入技术支持服务，软件版本更新和升级及服务页面接入服务</t>
  </si>
  <si>
    <t>PW2N-OAWAP1572</t>
  </si>
  <si>
    <t>2年合作伙伴OAW-AP1572-xx系列软件支持服务（新购），包含24*7接入技术支持服务，软件版本更新和升级及服务页面接入服务</t>
  </si>
  <si>
    <t>PW3N-AP1201BG</t>
  </si>
  <si>
    <t>3年合作伙伴OAW-AP1201BG-xx系列软件支持服务（新购），包含24*7接入技术支持服务，软件版本更新和升级及服务页面接入服务</t>
  </si>
  <si>
    <t>PW3N-OAWAP1201</t>
  </si>
  <si>
    <t>3年合作伙伴OAW-AP1201-xx系列软件支持服务（新购），包含24*7接入技术支持服务，软件版本更新和升级及服务页面接入服务</t>
  </si>
  <si>
    <t>PW3N-OAWAP1231</t>
  </si>
  <si>
    <t>3年合作伙伴OAW-AP1231-xx系列软件支持服务（新购），包含24*7接入技术支持服务，软件版本更新和升级及服务页面接入服务</t>
  </si>
  <si>
    <t>PW3N-OAWAP1232</t>
  </si>
  <si>
    <t>3年合作伙伴OAW-AP1232-xx系列软件支持服务（新购），包含24*7接入技术支持服务，软件版本更新和升级及服务页面接入服务</t>
  </si>
  <si>
    <t>PW3N-OAWAP1251</t>
  </si>
  <si>
    <t>3年合作伙伴OAW-AP1251-xx系列软件支持服务（新购），包含24*7接入技术支持服务，软件版本更新和升级及服务页面接入服务</t>
  </si>
  <si>
    <t>PW3N-OAWAP1261B</t>
  </si>
  <si>
    <t>3年合作伙伴OAW-AP1261B-xx系列软件支持服务（新购），包含24*7接入技术支持服务，软件版本更新和升级及服务页面接入服务</t>
  </si>
  <si>
    <t>PW3N-OAWAP1301H</t>
  </si>
  <si>
    <t>3年合作伙伴OAW-AP1301H-xx系列软件支持服务（新购），包含24*7接入技术支持服务，软件版本更新和升级及服务页面接入服务</t>
  </si>
  <si>
    <t>PW3N-OAWAP1301</t>
  </si>
  <si>
    <t>3年合作伙伴OAW-AP1301-xx系列软件支持服务（新购），包含24*7接入技术支持服务，软件版本更新和升级及服务页面接入服务</t>
  </si>
  <si>
    <t>PW3N-OAWAP1311</t>
  </si>
  <si>
    <t>3年合作伙伴OAW-AP1311-xx系列软件支持服务（新购），包含24*7接入技术支持服务，软件版本更新和升级及服务页面接入服务</t>
  </si>
  <si>
    <t>PW3N-OAWAP1320</t>
  </si>
  <si>
    <t>3年合作伙伴OAW-AP1320-xx系列软件支持服务（新购），包含24*7接入技术支持服务，软件版本更新和升级及服务页面接入服务</t>
  </si>
  <si>
    <t>PW3N-OAWAP1351</t>
  </si>
  <si>
    <t>3年合作伙伴OAW-AP1351-xx系列软件支持服务（新购），包含24*7接入技术支持服务，软件版本更新和升级及服务页面接入服务</t>
  </si>
  <si>
    <t>PW3N-OAWAP1360</t>
  </si>
  <si>
    <t>3年合作伙伴OAW-AP1360-xx系列软件支持服务（新购），包含24*7接入技术支持服务，软件版本更新和升级及服务页面接入服务</t>
  </si>
  <si>
    <t>PW3N-OAWAP1331</t>
  </si>
  <si>
    <t>3年合作伙伴OAW-AP1331-xx系列软件支持服务（新购），包含24*7接入技术支持服务，软件版本更新和升级及服务页面接入服务</t>
  </si>
  <si>
    <t>PW3N-OAWAP1451</t>
  </si>
  <si>
    <t>3年合作伙伴OAW-AP1451-xx系列软件支持服务（新购），包含24*7接入技术支持服务，软件版本更新和升级及服务页面接入服务</t>
  </si>
  <si>
    <t>PW3N-OAWAP1431</t>
  </si>
  <si>
    <t>3年合作伙伴OAW-AP1431-xx系列软件支持服务（新购），包含24*7接入技术支持服务，软件版本更新和升级及服务页面接入服务</t>
  </si>
  <si>
    <t>PW3N-OAWAP1411</t>
  </si>
  <si>
    <t>3年合作伙伴OAW-AP1411-xx系列软件支持服务（新购），包含24*7接入技术支持服务，软件版本更新和升级及服务页面接入服务</t>
  </si>
  <si>
    <t>PW3N-OAWAP1501</t>
  </si>
  <si>
    <t>3年合作伙伴OAW-AP1501-xx系列软件支持服务（新购），包含24*7接入技术支持服务，软件版本更新和升级及服务页面接入服务</t>
  </si>
  <si>
    <t>PW3N-OAWAP1511</t>
  </si>
  <si>
    <t>3年合作伙伴OAW-AP1511-xx系列软件支持服务（新购），包含24*7接入技术支持服务，软件版本更新和升级及服务页面接入服务</t>
  </si>
  <si>
    <t>PW3N-OAWAP1521</t>
  </si>
  <si>
    <t>3年合作伙伴OAW-AP1521-xx系列软件支持服务（新购），包含24*7接入技术支持服务，软件版本更新和升级及服务页面接入服务</t>
  </si>
  <si>
    <t>PW3N-OAWAP1541</t>
  </si>
  <si>
    <t>3年合作伙伴OAW-AP1541-xx系列软件支持服务（新购），包含24*7接入技术支持服务，软件版本更新和升级及服务页面接入服务</t>
  </si>
  <si>
    <t>PW3N-OAWAP1542</t>
  </si>
  <si>
    <t>3年合作伙伴OAW-AP1542-xx系列软件支持服务（新购），包含24*7接入技术支持服务，软件版本更新和升级及服务页面接入服务</t>
  </si>
  <si>
    <t>PW3N-OAWAP1561</t>
  </si>
  <si>
    <t>3年合作伙伴OAW-AP1561-xx系列软件支持服务（新购），包含24*7接入技术支持服务，软件版本更新和升级及服务页面接入服务</t>
  </si>
  <si>
    <t>PW3N-OAWAP1571</t>
  </si>
  <si>
    <t>3年合作伙伴OAW-AP1571xx系列软件支持服务（新购），包含24*7接入技术支持服务，软件版本更新和升级及服务页面接入服务</t>
  </si>
  <si>
    <t>PW3N-OAWAP1572</t>
  </si>
  <si>
    <t>3年合作伙伴OAW-AP1572-xx系列软件支持服务（新购），包含24*7接入技术支持服务，软件版本更新和升级及服务页面接入服务</t>
  </si>
  <si>
    <t>PW5N-AP1201BG</t>
  </si>
  <si>
    <t>5年合作伙伴OAW-AP1201BG软件支持服务（新购），包含24*7接入技术支持服务，软件版本更新和升级及服务页面接入服务</t>
  </si>
  <si>
    <t>PW5N-OAWAP1201</t>
  </si>
  <si>
    <t>5年合作伙伴OAW-AP1201-xx系列软件支持服务（新购），包含24*7接入技术支持服务，软件版本更新和升级及服务页面接入服务</t>
  </si>
  <si>
    <t>PW5N-OAWAP1231</t>
  </si>
  <si>
    <t>5年合作伙伴OAW-AP1231-xx系列软件支持服务（新购），包含24*7接入技术支持服务，软件版本更新和升级及服务页面接入服务</t>
  </si>
  <si>
    <t>PW5N-OAWAP1232</t>
  </si>
  <si>
    <t>5年合作伙伴OAW-AP1232-xx系列软件支持服务（新购），包含24*7接入技术支持服务，软件版本更新和升级及服务页面接入服务</t>
  </si>
  <si>
    <t>PW5N-OAWAP1261B</t>
  </si>
  <si>
    <t>5年合作伙伴OAW-AP1261B-xx系列软件支持服务（新购），包含24*7接入技术支持服务，软件版本更新和升级及服务页面接入服务</t>
  </si>
  <si>
    <t>PW5N-OAWAP1301H</t>
  </si>
  <si>
    <t>5年合作伙伴OAW-AP1301H-xx系列软件支持服务（新购），包含24*7接入技术支持服务，软件版本更新和升级及服务页面接入服务</t>
  </si>
  <si>
    <t>PW5N-OAWAP1301</t>
  </si>
  <si>
    <t>5年合作伙伴OAW-AP1301-xx系列软件支持服务（新购），包含24*7接入技术支持服务，软件版本更新和升级及服务页面接入服务</t>
  </si>
  <si>
    <t>PW5N-OAWAP1311</t>
  </si>
  <si>
    <t>5年合作伙伴OAW-AP1311-xx系列软件支持服务（新购），包含24*7接入技术支持服务，软件版本更新和升级及服务页面接入服务</t>
  </si>
  <si>
    <t>PW5N-OAWAP1320</t>
  </si>
  <si>
    <t>5年合作伙伴OAW-AP132x-xx系列软件支持服务（新购），包含24*7接入技术支持服务，软件版本更新和升级及服务页面接入服务</t>
  </si>
  <si>
    <t>PW5N-OAWAP1331</t>
  </si>
  <si>
    <t>5年合作伙伴OAW-AP1331-xx系列软件支持服务（新购），包含24*7接入技术支持服务，软件版本更新和升级及服务页面接入服务</t>
  </si>
  <si>
    <t>PW5N-OAWAP1351</t>
  </si>
  <si>
    <t>5年合作伙伴OAW-AP1351-xx系列软件支持服务（新购），包含24*7接入技术支持服务，软件版本更新和升级及服务页面接入服务</t>
  </si>
  <si>
    <t>PW5N-OAWAP1360</t>
  </si>
  <si>
    <t>5年合作伙伴OAW-AP136x-xx系列软件支持服务（新购），包含24*7接入技术支持服务，软件版本更新和升级及服务页面接入服务</t>
  </si>
  <si>
    <t>PW5N-OAWAP1411</t>
  </si>
  <si>
    <t>5年合作伙伴OAW-AP1411-xx系列软件支持服务（新购），包含24*7接入技术支持服务，软件版本更新和升级及服务页面接入服务</t>
  </si>
  <si>
    <t>PW5N-OAWAP1431</t>
  </si>
  <si>
    <t>PW5N-OAWAP1451</t>
  </si>
  <si>
    <t>5年合作伙伴OAW-AP1451-xx系列软件支持服务（新购），包含24*7接入技术支持服务，软件版本更新和升级及服务页面接入服务</t>
  </si>
  <si>
    <t>PW5N-OAWAP1501</t>
  </si>
  <si>
    <t>5年合作伙伴OAW-AP1501-xx系列软件支持服务（新购），包含24*7接入技术支持服务，软件版本更新和升级及服务页面接入服务</t>
  </si>
  <si>
    <t>PW5N-OAWAP1511</t>
  </si>
  <si>
    <t>5年合作伙伴OAW-AP1511-xx系列软件支持服务（新购），包含24*7接入技术支持服务，软件版本更新和升级及服务页面接入服务</t>
  </si>
  <si>
    <t>PW5N-OAWAP1521</t>
  </si>
  <si>
    <t>5年合作伙伴OAW-AP1521-xx系列软件支持服务（新购），包含24*7接入技术支持服务，软件版本更新和升级及服务页面接入服务</t>
  </si>
  <si>
    <t>PW5N-OAWAP1541</t>
  </si>
  <si>
    <t>5年合作伙伴OAW-AP1541-xx系列软件支持服务（新购），包含24*7接入技术支持服务，软件版本更新和升级及服务页面接入服务</t>
  </si>
  <si>
    <t>PW5N-OAWAP1542</t>
  </si>
  <si>
    <t>5年合作伙伴OAW-AP1542-xx系列软件支持服务（新购），包含24*7接入技术支持服务，软件版本更新和升级及服务页面接入服务</t>
  </si>
  <si>
    <t>PW5N-OAWAP1561</t>
  </si>
  <si>
    <t>5年合作伙伴OAW-AP1561-xx系列软件支持服务（新购），包含24*7接入技术支持服务，软件版本更新和升级及服务页面接入服务</t>
  </si>
  <si>
    <t>PW5N-OAWAP1571</t>
  </si>
  <si>
    <t>5年合作伙伴OAW-AP1571-xx系列软件支持服务（新购），包含24*7接入技术支持服务，软件版本更新和升级及服务页面接入服务</t>
  </si>
  <si>
    <t>PW5N-OAWAP1572</t>
  </si>
  <si>
    <t>5年合作伙伴OAW-AP1572-xx系列软件支持服务（新购），包含24*7接入技术支持服务，软件版本更新和升级及服务页面接入服务</t>
  </si>
  <si>
    <t>注释</t>
  </si>
  <si>
    <t xml:space="preserve">WLAN Controller </t>
  </si>
  <si>
    <t>OAW-6110</t>
  </si>
  <si>
    <t>1U 规格，4x1G 电口，1x2.5G 电口，1xconsole 口，1xUSB 口，最大支持 512 AP 管理。含 128 个 AP 许可，每套 AP 管理专用许可支持增加 1 台 AP 管理授权。中国电源线。</t>
  </si>
  <si>
    <t>Access Point  License</t>
  </si>
  <si>
    <t>OAW-AP-N</t>
  </si>
  <si>
    <t>Omni Access 无线接入点许可证，准许在控制器上增加1个AP，按照每台控制器所需要管理AP的数量订购。支持的控制器包含：OAW-6110，ACOS版本需为1.0.1.及以上。</t>
  </si>
  <si>
    <t>OmniAccess ESR Chassis</t>
  </si>
  <si>
    <t>主机箱</t>
  </si>
  <si>
    <t>OA-ESR5600-F5</t>
  </si>
  <si>
    <t>桌面型，4G网络层吞吐量，最大转发连接数80万，每秒新建连接数2.5万，配备5个GE，1个GE/SFP Combo，支持扩展4G/5G和WIFI模块；支持SD-WAN、防火墙、IPS入侵防护、病毒过滤、应用识别、VPN(IPsec/PPTP/SSL)、链路负载均衡、上网行为管理、URL过滤等功能；1年硬件保修服务及系统软件升级服务。安全许可升级需额外购买。</t>
  </si>
  <si>
    <t>OA-ESR5600-F10</t>
  </si>
  <si>
    <t>1U高度，网络层吞吐量10Gbps，最大并发连接数300万，每秒新建连接数8万，标配含8个GE，2个SFP， 2个SFP+,标配冗余交流双电源；支持SD-WAN、防火墙、IPS入侵防护、WEB应用防护、病毒过滤、应用识别、VPN(IPsec/PPTP/SSL)、链路负载均衡、上网行为管理、URL过滤等功能；1年硬件保修服务及系统软件升级服务。安全许可升级需额外购买。</t>
  </si>
  <si>
    <t>OmniAccess ESR Modules</t>
  </si>
  <si>
    <t>OA-ESR5600-F30</t>
  </si>
  <si>
    <t>2U高度，网络层吞吐量40Gbps，最大并发连接数800万，每秒新建连接数16万；标配含6个GE，2个SFP，2个SFP+，2个扩展槽，标配模块化冗余交流双电源；支持SD-WAN、防火墙、IPS入侵防护、WEB应用防护、病毒过滤、应用识别、VPN(IPsec/PPTP/SSL)、链路负载均衡、上网行为管理、URL过滤等功能；1年硬件保修服务及系统软件升级服务。安全许可升级需额外购买。</t>
  </si>
  <si>
    <t>OA-ESR5600-F40</t>
  </si>
  <si>
    <t>2U高度，网络层吞吐量40Gbps，最大并发连接数1200万，每秒新建连接数20万；标配含6个GE，4个SFP，4个扩展槽，标配模块化冗余交流双电源；支持SD-WAN、防火墙、IPS入侵防护、WEB应用防护、病毒过滤、应用识别、VPN(IPsec/PPTP/SSL)、链路负载均衡、上网行为管理、URL过滤等功能；1年硬件保修服务及系统软件升级服务。安全许可升级需额外购买。</t>
  </si>
  <si>
    <t>业务模块</t>
  </si>
  <si>
    <t>ESR-GNI-C4</t>
  </si>
  <si>
    <t>4个千兆电口板卡(适用于F30)</t>
  </si>
  <si>
    <t>ESR-GNI-U4</t>
  </si>
  <si>
    <t>4个SFP千兆光口板卡（不含光模块）(适用于F30)</t>
  </si>
  <si>
    <t>ESR-XNI-U4</t>
  </si>
  <si>
    <t>4个SFP+万兆光口板卡（不含光模块）(适用于F30)</t>
  </si>
  <si>
    <t>ESR-WNI-W4G</t>
  </si>
  <si>
    <t>无线网络接口卡，4G广域模块 (适用于F5)</t>
  </si>
  <si>
    <t>ESR-WNI-W5G</t>
  </si>
  <si>
    <t>无线网络接口卡，5G广域模块 (适用于F5)</t>
  </si>
  <si>
    <t>ESR-WNI-WLAN</t>
  </si>
  <si>
    <t>无线网络接口卡，WLAN模块 (适用于F5)</t>
  </si>
  <si>
    <t>ESR-XNI-U2C</t>
  </si>
  <si>
    <t>2个SFP+万兆光口板卡（不含光模块）(适用于F40)</t>
  </si>
  <si>
    <t>OmniAccess ESR Software</t>
  </si>
  <si>
    <t>ESR-F5-IPS-1Y</t>
  </si>
  <si>
    <t>OmniAccess  ESR5600-F5-IPS-1Y，入侵防御功能，适用于OmniAccess ESR5600-F5 1年的IPS升级服务。</t>
  </si>
  <si>
    <t>ESR-F5-IPS-3Y</t>
  </si>
  <si>
    <t>OmniAccess  ESR5600-F5-IPS-3Y，入侵防御功能，适用于OmniAccess ESR5600-F5 3年的IPS升级服务。</t>
  </si>
  <si>
    <t>ESR-F5-AV-1Y</t>
  </si>
  <si>
    <t>OmniAccess  ESR5600-F5-AV-1Y，防病毒功能，适用于OmniAccess ESR5600-F5 1年的AV升级服务。</t>
  </si>
  <si>
    <t>ESR-F5-AV-3Y</t>
  </si>
  <si>
    <t>OmniAccess ESR5600-F5-AV-3Y，防病毒功能，适用于OmniAccess ESR5600-F5 3年的AV升级服务。</t>
  </si>
  <si>
    <t>ESR-F10-IPS-1Y</t>
  </si>
  <si>
    <t>OmniAccess  ESR5600-F10-IPS-1Y，入侵防御功能，适用于OmniAccess ESR5600-F10 1年的IPS升级服务。</t>
  </si>
  <si>
    <t>ESR-F10-IPS-3Y</t>
  </si>
  <si>
    <t>OmniAccess  ESR5600-F10-IPS-3Y，入侵防御功能，适用于OmniAccess ESR5600-F10 3年的IPS升级服务。</t>
  </si>
  <si>
    <t>ESR-F10-AV-1Y</t>
  </si>
  <si>
    <t>OmniAccess  ESR5600-F10-AV-1Y，防病毒功能，适用于OmniAccess ESR5600-F10 1年的AV升级服务。</t>
  </si>
  <si>
    <t>ESR-F10-AV-3Y</t>
  </si>
  <si>
    <t>OmniAccess ESR5600-F10-AV-3Y，防病毒功能，适用于OmniAccess ESR5600-F10 3年的AV升级服务。</t>
  </si>
  <si>
    <t>ESR-F30-IPS-1Y</t>
  </si>
  <si>
    <t>OmniAccess ESR5600-F30-IPS-1Y，入侵防御功能，适用于OmniAccess  ESR5600-F30 1年的IPS升级服务。</t>
  </si>
  <si>
    <t>ESR-F30-IPS-3Y</t>
  </si>
  <si>
    <t>OmniAccess  ESR5600-F30-IPS-3Y，入侵防御功能，适用于OmniAccess ESR5600-F30 3年的IPS升级服务。</t>
  </si>
  <si>
    <t>ESR-F30-AV-1Y</t>
  </si>
  <si>
    <t>OmniAccess ESR5600-F30-AV-1Y，防病毒功能，适用于OmniAccess ESR5600-F30 1年的AV升级服务。</t>
  </si>
  <si>
    <t>ESR-F30-AV-3Y</t>
  </si>
  <si>
    <t>OmniAccess ESR5600-F30-AV-3Y，防病毒功能，适用于OmniAccess ESR5600-F30 3年的AV升级服务。</t>
  </si>
  <si>
    <t>ESR-F40-IPS-1Y</t>
  </si>
  <si>
    <t>OmniAccess ESR5600-F40-IPS-1Y，入侵防御功能，适用于OmniAccess  ESR5600-F40 1年的IPS升级服务。</t>
  </si>
  <si>
    <t>ESR-F40-IPS-3Y</t>
  </si>
  <si>
    <t>OmniAccess  ESR5600-F40-IPS-3Y，入侵防御功能，适用于OmniAccess ESR5600-F40 3年的IPS升级服务。</t>
  </si>
  <si>
    <t>ESR-F40-AV-1Y</t>
  </si>
  <si>
    <t>OmniAccess ESR5600-F40-AV-1Y，防病毒功能，适用于OmniAccess ESR5600-F40 1年的AV升级服务。</t>
  </si>
  <si>
    <t>ESR-F40-AV-3Y</t>
  </si>
  <si>
    <t>OmniAccess ESR5600-F40-AV-3Y，防病毒功能，适用于OmniAccess ESR5600-F40 3年的AV升级服务。</t>
  </si>
  <si>
    <t>ESR-AC-1Y</t>
  </si>
  <si>
    <t>OmniAccess ESR5600，上网行为管理（含URL特征库+应用协议特征库）- 1年升级服务 All modules</t>
  </si>
  <si>
    <t>ESR-AC-3Y</t>
  </si>
  <si>
    <t>OmniAccess ESR5600，上网行为管理（含URL特征库+应用协议特征库）-  3年升级服务  All modules</t>
  </si>
  <si>
    <t>ESR-ATP-1Y</t>
  </si>
  <si>
    <t>OmniAccess ESR5600，高级威胁防护（含 IPS/AV/APP/URL特征库升级）-1年升级服务  All modules</t>
  </si>
  <si>
    <t>ESR-ATP-3Y</t>
  </si>
  <si>
    <t>OmniAccessESR5600，高级威胁防护（含 IPS/AV/APP/URL特征库升级）-3年升级服务  All modules</t>
  </si>
  <si>
    <t>ESR-WAF-1Y</t>
  </si>
  <si>
    <t>OmniAccess ESR5600，Web应用防火墙特征库升级-1年升级服务, ESR5600-F10/F30/F40</t>
  </si>
  <si>
    <t xml:space="preserve"> ESR-WAF-3Y</t>
  </si>
  <si>
    <t>OmniAccess ESR5600, Web应用防火墙特征库升级-3年升级服务
ESR5600-F10/F30/F40</t>
  </si>
  <si>
    <t xml:space="preserve"> ESR-CTIP-1Y</t>
  </si>
  <si>
    <t>OmniAccess ESR5600, 威胁情报特征库升级-1年升级服务, ESR5600-F10/F30/F40</t>
  </si>
  <si>
    <t>ESR-CTIP-3Y</t>
  </si>
  <si>
    <t>OmniAccess ESR5600，威胁情报特征库升级-3年升级服务,ESR5600-F10/F30/F40</t>
  </si>
  <si>
    <t>ESR-SDWAN-C</t>
  </si>
  <si>
    <t>SDWAN控制器，支持虚拟化部署，支持对所有设备进行集中管理，VPN隧道自动搭建等。</t>
  </si>
  <si>
    <t>ESR-SDWAN-30</t>
  </si>
  <si>
    <t xml:space="preserve">SD-WAN管控一体数据中心（30以内节点授权） </t>
  </si>
  <si>
    <t>ESR-SDWAN-50</t>
  </si>
  <si>
    <t xml:space="preserve">SD-WAN管控一体数据中心（50以内节点授权） </t>
  </si>
  <si>
    <t>ESR-SDWAN-100</t>
  </si>
  <si>
    <t xml:space="preserve">SD-WAN管控一体数据中心（100以内节点授权） </t>
  </si>
  <si>
    <t>ESR-SDWAN-300</t>
  </si>
  <si>
    <t xml:space="preserve">SD-WAN管控一体数据中心（300以内节点授权） </t>
  </si>
  <si>
    <t>ESR-SDWAN-500</t>
  </si>
  <si>
    <t xml:space="preserve">SD-WAN管控一体数据中心（500以内节点授权） </t>
  </si>
  <si>
    <t>OmniVista 2500 Partner Support Software</t>
  </si>
  <si>
    <t>NEW Deployment - Starter Pack  &amp; Node Management  Extension  Licenses  (Enterprise &amp; 3rd Party)</t>
  </si>
  <si>
    <t>OV4-START-NEW</t>
  </si>
  <si>
    <t>OV2500 NMS - 4.0版 - 新装包 - 仅供全新部署使用。包括OV2500的应用和功能的Win/ Linux或VM Appliance安装程序。节点管理许可包括：10×ALE设备许可证（每台设备按1个许可计算，注：每个堆叠组（或VC）需按照所配置交换机的总数量配置许可）; 10个第三方设备许可证（每个管理IP 计算1个许可数）; 10个VMM许可证，10个AP，10个BYOD，10个GA许可，需要在线激活。需要使用OV-NM-EX-XN或OV-VMM-XN增加可管理设备或VMM虚拟机数量。</t>
  </si>
  <si>
    <t>OmniVIsta 2500 NMS - Network Management License</t>
  </si>
  <si>
    <t>OV4-NMS-HA</t>
  </si>
  <si>
    <t>OV4-NMS-HA - OmniVista 2500 HA (高可用)软件许可. 适用OV2500新装包，对包括UPAM服务的OV2500网管提供高可用性服务，最低需要OV4.3r1版本，在线激活。</t>
  </si>
  <si>
    <t>OV-NM-EX-10-N</t>
  </si>
  <si>
    <t>OV2500 NMS - 4.0版 - 10节点管理设备扩展。扩展许可证：10个ALE设备和10个第三方设备。每个堆叠组（或VC）需按照所配置交换机的总数量配置许可，每个第三方管理IP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</si>
  <si>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OV-NM-EX-20-N</t>
  </si>
  <si>
    <t>OV2500 NMS - 4.0版 - 20节点管理设备扩展。扩展许可证：20个ALE设备和20个第三方设备。每个堆叠组（或VC）需按照所配置交换机的总数量配置许可，每个第三方管理IP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</si>
  <si>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OV-NM-EX-50-N</t>
  </si>
  <si>
    <t>OV2500 NMS - 4.0版 - 50节点管理设备扩展。扩展许可证：50个ALE设备和50个第三方设备。每个堆叠组（或VC）需按照所配置交换机的总数量配置许可，每个第三方管理IP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</si>
  <si>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OV-NM-EX-100-N</t>
  </si>
  <si>
    <t>OV2500 NMS - 4.0版 - 100节点管理设备扩展。扩展许可证：100个ALE设备和100个第三方设备。每个堆叠组（或VC）需按照所配置交换机的总数量配置许可，每个第三方管理IP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</si>
  <si>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OV-NM-EX-500-N</t>
  </si>
  <si>
    <t>OV2500 NMS - 4.0版 - 500节点管理设备扩展。扩展许可证：500个ALE设备和500个第三方设备。每个堆叠组（或VC）需按照所配置交换机的总数量配置许可，每个第三方管理IP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</si>
  <si>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OV-NM-EX-1K-N</t>
  </si>
  <si>
    <t>OV2500 NMS - 4.0版 - 1000节点管理设备扩展。扩展许可证：1000个ALE设备和1000个第三方设备。每个堆叠组（或VC）需按照所配置交换机的总数量配置许可，每个第三方管理IP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</si>
  <si>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NEW Deployment -  Extension  Licenses  for VMM application</t>
  </si>
  <si>
    <t>OV-VMM-200-N</t>
  </si>
  <si>
    <t>OV2500 NMS - 4.0版 - VMM - 200 个VM-新部署。200个虚拟机扩展管理许可。VMM虚拟机扩展管理许可证，用于VM库管理，监控和UNP自动配置。仅用于OV2500新装包。需要在线激活。支持2个至无限多个vCenter实例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</t>
  </si>
  <si>
    <t>OV-VMM-500-N</t>
  </si>
  <si>
    <t>OV2500 NMS - 4.0版 - VMM - 500 个VM-新部署。500个虚拟机扩展管理许可。VMM虚拟机扩展管理许可证，用于VM库管理，监控和UNP自动配置。仅用于OV2500新装包。需要在线激活。支持2个至无限多个vCenter实例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</t>
  </si>
  <si>
    <t>OV-VMM-1K-N</t>
  </si>
  <si>
    <t>OV2500 NMS - 4.0版 - VMM - 1000 个VM-新部署。1000个虚拟机扩展管理许可。VMM虚拟机扩展管理许可证，用于VM库管理，监控和UNP自动配置。仅用于OV2500新装包。需要在线激活。支持2个至无限多个vCenter实例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</t>
  </si>
  <si>
    <t>NEW Deployment - OmniVista 2500 Release OV422-  Stellar AP Management ( AP NM , Guest Access , BYOD)</t>
  </si>
  <si>
    <t>OV-AP-NM-10-N</t>
  </si>
  <si>
    <t>OV2500 NMS - 4.0版 - AP - 10 个AP-新部署。10个Stellar AP接入点管理许可。用于所有Stellar AP型号。仅用于OV2500新装包。需要在线激活。可以与其他NM扩展许可组合使用，以提供足够的AP管理许可。</t>
  </si>
  <si>
    <t>OV-AP-NM-100-N</t>
  </si>
  <si>
    <t>OV2500 NMS - 4.0版 - AP - 100个AP-新部署。100个Stellar AP接入点管理许可。用于所有Stellar AP型号。仅用于OV2500新装包。需要在线激活。可以与其他NM扩展许可组合使用，以提供足够的AP管理许可。</t>
  </si>
  <si>
    <t>OV-AP-NM-20-N</t>
  </si>
  <si>
    <t>OV2500 NMS - 4.0版 - AP - 20个AP-新部署。20个Stellar AP接入点管理许可。用于所有Stellar AP型号。仅用于OV2500新装包。需要在线激活。可以与其他NM扩展许可组合使用，以提供足够的AP管理许可。</t>
  </si>
  <si>
    <t>OV-AP-NM-50-N</t>
  </si>
  <si>
    <t>OV2500 NMS - 4.0版 - AP - 50个AP-新部署。50个Stellar AP接入点管理许可。用于所有Stellar AP型号。仅用于OV2500新装包。需要在线激活。可以与其他NM扩展许可组合使用，以提供足够的AP管理许可。</t>
  </si>
  <si>
    <t>OV-AP-NM-500-N</t>
  </si>
  <si>
    <t>OV2500 NMS - 4.0版 - AP - 500个AP-新部署。500个Stellar AP接入点管理许可。用于所有Stellar AP型号。仅用于OV2500新装包。需要在线激活。可以与其他NM扩展许可组合使用，以提供足够的AP管理许可。</t>
  </si>
  <si>
    <t>OmniVista 2500 NMS - Stellar Solution Management  license</t>
  </si>
  <si>
    <t>OV-AP-NM-1K-N</t>
  </si>
  <si>
    <t>OV2500 NMS - 4版本- AP - 1000个AP-新部署。1000个Stellar AP接入点管理许可。用于所有Stellar AP型号。仅用于OV2500新装包。需要在线激活。可以与其他NM扩展许可组合使用，以提供足够的AP管理许可。</t>
  </si>
  <si>
    <t>OV-AP-WCF-10-N</t>
  </si>
  <si>
    <t xml:space="preserve">OV-AP-WCF-10-N  10个AP的Web内容过滤许可证。适用于OV2500服务。与其他WCP-AP扩展一起使用，以获得足够的配置。在线激活。至少需要OV4.5R3和AWOS 4.0.2版本。AP1101,1201H,1201L,1201HL型号不支持。 </t>
  </si>
  <si>
    <t>OV-BYOD-100-N</t>
  </si>
  <si>
    <t>OV2500 NMS - 4.0版 - BYOD - 100个BYOD-新部署。100个BYOD接入策略管理许可。用于在ALE网络中接入并发100个BYOD设备。需要在线激活。可以与其他BYOD许可组合使用，以提供足够的BYOD策略管理许可。</t>
  </si>
  <si>
    <t>OV-BYOD-1K-N</t>
  </si>
  <si>
    <t>OV2500 NMS - 4.0版 - BYOD - 1000个BYOD-新部署。1000个BYOD接入策略管理许可。用于在ALE网络中接入并发1000个BYOD设备。需要在线激活。可以与其他BYOD许可组合使用，以提供足够的BYOD策略管理许可。</t>
  </si>
  <si>
    <t>OV-BYOD-20-N</t>
  </si>
  <si>
    <t>OV2500 NMS - 4.0版 - BYOD - 20个BYOD-新部署。20个BYOD接入策略管理许可。用于在ALE网络中接入并发20个BYOD设备。需要在线激活。可以与其他BYOD许可组合使用，以提供足够的BYOD策略管理许可。</t>
  </si>
  <si>
    <t>OV-BYOD-50-N</t>
  </si>
  <si>
    <t>OV2500 NMS - 4.0版 - BYOD - 50个BYOD-新部署。50个BYOD接入策略管理许可。用于在ALE网络中接入并发50个BYOD设备。需要在线激活。可以与其他BYOD许可组合使用，以提供足够的BYOD策略管理许可。</t>
  </si>
  <si>
    <t>OV-BYOD-500-N</t>
  </si>
  <si>
    <t>OV2500 NMS - 4.0版 - BYOD - 500个BYOD-新部署。500个BYOD接入策略管理许可。用于在ALE网络中接入并发500个BYOD设备。需要在线激活。可以与其他BYOD许可组合使用，以提供足够的BYOD策略管理许可。</t>
  </si>
  <si>
    <t>OmniVIsta 2500 NMS - Stellar Solution Management  license</t>
  </si>
  <si>
    <t>OV-BYOD-5K-N</t>
  </si>
  <si>
    <t>OV2500 NMS - 4.0版 - BYOD - 5000个BYOD-新部署。5000个BYOD接入策略管理许可。用于在ALE网络中接入并发5000个BYOD设备。需要在线激活。可以与其他BYOD许可组合使用，以提供足够的BYOD策略管理许可</t>
  </si>
  <si>
    <t>OV-BYOD-25K-N</t>
  </si>
  <si>
    <t>OV2500 NMS - 4.0版 - BYOD - 25000个BYOD-新部署。25000个BYOD接入策略管理许可。用于在ALE网络中接入并发25000个BYOD设备。需要在线激活。可以与其他BYOD许可组合使用，以提供足够的BYOD策略管理许可</t>
  </si>
  <si>
    <t>OV-GA-100-N</t>
  </si>
  <si>
    <t>OV2500 NMS - 4.0版 - GA - 100个GA-新部署。100个访客接入策略管理许可。用于在ALE网络中接入100个并发访客设备。需要在线激活。可以与其他GA许可组合使用，以提供足够的GA策略管理许可。</t>
  </si>
  <si>
    <t>OV-GA-1K-N</t>
  </si>
  <si>
    <t>OV2500 NMS - 4.0版 - GA - 1000个GA-新部署。1000个访客接入策略管理许可。用于在ALE网络中接入1000个并发访客设备。需要在线激活。可以与其他GA许可组合使用，以提供足够的GA策略管理许可。</t>
  </si>
  <si>
    <t>OV-GA-20-N</t>
  </si>
  <si>
    <t>OV2500 NMS - 4.0版 - GA - 20个GA-新部署。20个访客接入策略管理许可。用于在ALE网络中接入20个并发访客设备。需要在线激活。可以与其他GA许可组合使用，以提供足够的GA策略管理许可。</t>
  </si>
  <si>
    <t>OV-GA-50-N</t>
  </si>
  <si>
    <t>OV2500 NMS - 4.0版 - GA - 50个GA-新部署。50个访客接入策略管理许可。用于在ALE网络中接入50个并发访客设备。需要在线激活。可以与其他GA许可组合使用，以提供足够的GA策略管理许可。</t>
  </si>
  <si>
    <t>OV-GA-500-N</t>
  </si>
  <si>
    <t>OV2500 NMS - 4.0版 - GA - 500个GA-新部署。500个访客接入策略管理许可。用于在ALE网络中接入500个并发访客设备。需要在线激活。可以与其他GA许可组合使用，以提供足够的GA策略管理许可。</t>
  </si>
  <si>
    <t>OV-GA-5K-N</t>
  </si>
  <si>
    <t>OV2500 NMS - 4.0版 - GA - 5000个GA-新部署。5000个访客接入策略管理许可。用于在ALE网络中接入5000个并发访客设备。需要在线激活。可以与其他GA许可组合使用，以提供足够的GA策略管理许可。</t>
  </si>
  <si>
    <t>OV-GA-25K-N</t>
  </si>
  <si>
    <t>OV2500 NMS - 4.0版 - GA - 25000个GA-新部署。25000个访客接入策略管理许可。用于在ALE网络中接入25000个并发访客设备。需要在线激活。可以与其他GA许可组合使用，以提供足够的GA策略管理许可。</t>
  </si>
  <si>
    <t>UPGRADE Deployment - Starter Pack  , Node Management Extension  Licenses  (Enterprise &amp; 3rd Party), VMM applications</t>
  </si>
  <si>
    <t>OV4-START-UPG</t>
  </si>
  <si>
    <t>OV2500 NMS - 4.0版 - 升级包 - 仅供升级部署使用。包括OV2500的应用和功能的Win/ Linux或VM Appliance安装程序。节点管理许可包括：10×ALE设备许可证（注：每个堆叠组（或VC）需按照所配置交换机的总数量配置许可）; 10个第三方设备许可证（每个管理IP 计算1个许可数）; 10个VMM许可证。需要在线激活。需要使用OV-NM-EX-XN或OV-VMM-XN增加可管理设备或VMM虚拟机数量。</t>
  </si>
  <si>
    <t>OV-NM-EX-10-U</t>
  </si>
  <si>
    <t>OV2500 NMS - 4.0版 - 10节点管理设备扩展。扩展许可证：10个ALE设备和10个第三方设备。每个堆叠组（或VC）需按照所配置交换机的总数量配置许可，每个第三方管理IP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</si>
  <si>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OV-NM-EX-20-U</t>
  </si>
  <si>
    <t>OV2500 NMS - 4.0版 - 20节点管理设备扩展。扩展许可证：20个ALE设备和20个第三方设备。每个堆叠组（或VC）需按照所配置交换机的总数量配置许可，每个第三方管理IP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</si>
  <si>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OV-NM-EX-50-U</t>
  </si>
  <si>
    <t>OV2500 NMS - 4.0版 - 50节点管理设备扩展。扩展许可证：50个ALE设备和50个第三方设备。每个堆叠组（或VC）需按照所配置交换机的总数量配置许可，每个第三方管理IP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</si>
  <si>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OV-NM-EX-100-U</t>
  </si>
  <si>
    <t>OV2500 NMS - 4.0版 - 100节点管理设备扩展。扩展许可证：100个ALE设备和100个第三方设备。每个堆叠组（或VC）需按照所配置交换机的总数量配置许可，每个第三方管理IP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</si>
  <si>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OV-NM-EX-500-U</t>
  </si>
  <si>
    <t>OV2500 NMS - 4.0版 - 500节点管理设备扩展。扩展许可证：500个ALE设备和500个第三方设备。每个堆叠组（或VC）需按照所配置交换机的总数量配置许可，每个第三方管理IP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</si>
  <si>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OV-NM-EX-1K-U</t>
  </si>
  <si>
    <t>OV2500 NMS - 4.0版 - 1000节点管理设备扩展。扩展许可证：1000个ALE设备和1000个第三方设备。每个堆叠组（或VC）需按照所配置交换机的总数量配置许可，每个第三方管理IP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</si>
  <si>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UPGRADE Deployment - Starter Pack  , Node Extension  Licenses  (Enterprise &amp; 3rd Party), AFN &amp; VMM applications</t>
  </si>
  <si>
    <t>OV-VMM-200-U</t>
  </si>
  <si>
    <t>OV2500 NMS - 4.0版 - VMM - 200 个VM-升级部署。200个虚拟机扩展管理许可。VMM虚拟机扩展管理许可证，用于VM库管理，监控和UNP自动配置。仅用于OV2500新装包。需要在线激活。支持2个至无限多个vCenter实例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5000虚拟机。可以与其他VMM扩展许可组合使用，以提供足够的VMM管理许可。适用于已安装OV2500 NMS（3.5.X或更老版本）</t>
  </si>
  <si>
    <t>OV-VMM-500-U</t>
  </si>
  <si>
    <t>OV2500 NMS - 4.0版 - VMM - 500 个VM-升级部署。500个虚拟机扩展管理许可。VMM虚拟机扩展管理许可证，用于VM库管理，监控和UNP自动配置。仅用于OV2500新装包。需要在线激活。支持2个至无限多个vCenter实例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5000虚拟机。可以与其他VMM扩展许可组合使用，以提供足够的VMM管理许可。适用于已安装OV2500 NMS（3.5.X或更老版本）</t>
  </si>
  <si>
    <t>OV-VMM-1K-U</t>
  </si>
  <si>
    <t>OV2500 NMS - 4.0版 - VMM - 1000 个VM-升级部署。1000个虚拟机扩展管理许可。VMM虚拟机扩展管理许可证，用于VM库管理，监控和UNP自动配置。仅用于OV2500新装包。需要在线激活。支持2个至无限多个vCenter实例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5000虚拟机。可以与其他VMM扩展许可组合使用，以提供足够的VMM管理许可。适用于已安装OV2500 NMS（3.5.X或更老版本）</t>
  </si>
  <si>
    <t>PW3N-OVNMEX10</t>
  </si>
  <si>
    <t>3年 24X7 合作伙伴软件支持服务。针对OV-NM-EX-10N。针对OV-NM-EX-10N包括 24x7 技术支持、支持网页接入、软件更新和升级</t>
  </si>
  <si>
    <t>PW5N-OVNMEX10</t>
  </si>
  <si>
    <t xml:space="preserve">5年 24X7 合作伙伴软件支持服务。针对OV-NM-EX-10N。针对OV-NM-EX-10N包括 24x7 技术支持、支持网页接入、软件更新和升级 </t>
  </si>
  <si>
    <t>PW3N-OVNMEX20</t>
  </si>
  <si>
    <t xml:space="preserve">3年 24X7 合作伙伴软件支持服务。针对OV-NM-EX-20N。针对OV-NM-EX-20N包括 24x7 技术支持、支持网页接入、软件更新和升级。 </t>
  </si>
  <si>
    <t>PW5N-OVNMEX20</t>
  </si>
  <si>
    <t xml:space="preserve">5年 24X7 合作伙伴软件支持服务。针对OV-NM-EX-20N。针对OV-NM-EX-20N包括 24x7 技术支持、支持网页接入、软件更新和升级。 </t>
  </si>
  <si>
    <t>PW3N-OVNMEX50</t>
  </si>
  <si>
    <t xml:space="preserve">3年 24X7 合作伙伴软件支持服务。针对OV-NM-EX-50N。针对OV-NM-EX-50N包括 24x7 技术支持、支持网页接入、软件更新和升级。  </t>
  </si>
  <si>
    <t>PW5N-OVNMEX50</t>
  </si>
  <si>
    <t xml:space="preserve">5年 24X7 合作伙伴软件支持服务。针对OV-NM-EX-50N。针对OV-NM-EX-50N包括 24x7 技术支持、支持网页接入、软件更新和升级。   </t>
  </si>
  <si>
    <t>PW3N-OVVMM200</t>
  </si>
  <si>
    <t xml:space="preserve">3年 24X7 合作伙伴软件支持服务。针对 OV-VMM-200N。针对 OV-VMM-200N包括 24x7 技术支持、支持网页接入、软件更新和升级。  </t>
  </si>
  <si>
    <t>PW5N-OVVMM200</t>
  </si>
  <si>
    <t xml:space="preserve">5年 24X7 合作伙伴软件支持服务。针对 OV-VMM-200N。针对 OV-VMM-200N包括 24x7 技术支持、支持网页接入、软件更新和升级。  </t>
  </si>
  <si>
    <t>PW3N-OVVMM500</t>
  </si>
  <si>
    <t xml:space="preserve">3年 24X7 合作伙伴软件支持服务。针对 OV-VMM-500N。针对 OV-VMM-500N包括 24x7 远程电话支持, 问题诊断、支持网页接入、软件更新和升级。  </t>
  </si>
  <si>
    <t>PW5N-OVVMM500</t>
  </si>
  <si>
    <t>5年 24X7 合作伙伴软件支持服务。针对 OV-VMM-500N。针对 OV-VMM-500N包括 24x7 远程电话支持, 问题诊断、支持网页接入、软件更新和升级。</t>
  </si>
  <si>
    <t>PW5N-OV4START</t>
  </si>
  <si>
    <t>OV2500 NMS - RELEASE 4 OV4-START-NEW/-UPG等5年合作伙伴24*7软件支持服务（新购），包含24*7技术支持，软件升级及支持页面接入。需为每个OV server订购</t>
  </si>
  <si>
    <t>PW5N-OVNMEX100</t>
  </si>
  <si>
    <t>OV2500 NMS - RELEASE 4 OV-NM-EX-100-x 5年合作伙伴24*7软件支持服务（新购），包含24*7技术支持，软件升级及支持页面接入。需为每个OV server订购</t>
  </si>
  <si>
    <t>PW5N-OVNMEX1K</t>
  </si>
  <si>
    <t>OV2500 NMS - RELEASE 4 OV-NM-EX-1K-x 5年合作伙伴24*7软件支持服务（新购），包含24*7技术支持，软件升级及支持页面接入。需为每个OV server订购</t>
  </si>
  <si>
    <t>PW5N-OVNMEX500</t>
  </si>
  <si>
    <t>OV2500 NMS - RELEASE 4 OV-NM-EX-500-x 5年合作伙伴24*7软件支持服务（新购），包含24*7技术支持，软件升级及支持页面接入。需为每个OV server订购</t>
  </si>
  <si>
    <t>PW5N-OVVMM1K</t>
  </si>
  <si>
    <t>OV2500 NMS - RELEASE 4 OV-VMM-1K-N and OV-VMM-1K-U 5年合作伙伴24*7软件支持服务（新购），包含24*7技术支持，软件升级及支持页面接入。需为每个OV server订购</t>
  </si>
  <si>
    <t>PW5N-OVAPNM100N</t>
  </si>
  <si>
    <t>5年 24X7 合作伙伴软件支持服务，针对 OV2500 NMS - 版本 4 OV-AP-NM-100-N. 包括 24x7 技术支持, 软件升级, 支持网页接入。需为每个OV server订购.</t>
  </si>
  <si>
    <t>PW5N-OVAPNM10N</t>
  </si>
  <si>
    <t>5年 24X7 合作伙伴软件支持服务，针对 OV2500 NMS - 版本 4 OV-AP-NM-10-N. 包括 24x7 技术支持, 软件升级, 支持网页接入。需为每个OV server订购.</t>
  </si>
  <si>
    <t>PW5N-OVAPNM20N</t>
  </si>
  <si>
    <t>5年 24X7 合作伙伴软件支持服务，针对 OV2500 NMS - 版本 4 OV-AP-NM-20-N. 包括 24x7 技术支持, 软件升级, 支持网页接入。需为每个OV server订购.</t>
  </si>
  <si>
    <t>PW5N-OVAPNM500N</t>
  </si>
  <si>
    <t>5年 24X7 合作伙伴软件支持服务，针对 OV2500 NMS - 版本 4 OV-AP-NM-500-N. 包括 24x7 技术支持, 软件升级, 支持网页接入。需为每个OV server订购.</t>
  </si>
  <si>
    <t>PW5N-OVAPNM50N</t>
  </si>
  <si>
    <t>5年 24X7 合作伙伴软件支持服务，针对 OV2500 NMS - 版本 4 OV-AP-NM-50-N. 包括 24x7 技术支持, 软件升级, 支持网页接入。需为每个OV server订购.</t>
  </si>
  <si>
    <t>PW5N-OVBYOD100N</t>
  </si>
  <si>
    <t>5年 24X7 合作伙伴软件支持服务，针对 OV2500 NMS - 版本 4 OV-BYOD-20-N. 包括 24x7 技术支持, 软件升级, 支持网页接入。需为每个OV server订购.</t>
  </si>
  <si>
    <t>PW5N-OVBYOD1KN</t>
  </si>
  <si>
    <t>5年 24X7 合作伙伴软件支持服务，针对 OV2500 NMS - 版本 4 OV-BYOD-1K-N. 包括 24x7 技术支持, 软件升级, 支持网页接入。需为每个OV server订购.</t>
  </si>
  <si>
    <t>PW5N-OVBYOD20N</t>
  </si>
  <si>
    <t>5年 24X7 合作伙伴软件支持服务，针对 OV2500 NMS - 版本 4 OV-BYOD-20-N. 包括 24x7 远程电话支持, 问题诊断, 软件升级, 支持网页接入。需为每个OV server订购.</t>
  </si>
  <si>
    <t>PW5N-OVBYOD500N</t>
  </si>
  <si>
    <t>5年 24X7 合作伙伴软件支持服务，针对 OV2500 NMS - 版本 4 OV-BYOD-500-N. 包括 24x7 技术支持断, 软件升级, 支持网页接入。需为每个OV server订购.</t>
  </si>
  <si>
    <t>PW5N-OVBYOD50N</t>
  </si>
  <si>
    <t>5年 24X7 合作伙伴软件支持服务，针对 OV2500 NMS - 版本 4 OV-BYOD-50-N. 包括 24x7 技术支持, 软件升级, 支持网页接入。需为每个OV server订购.</t>
  </si>
  <si>
    <t>PW5N-OVGA100N</t>
  </si>
  <si>
    <t>5年 24X7 合作伙伴软件支持服务，针对 OV2500 NMS - 版本 4 OV-GA-100-N. 包括 24x7 技术支持, 软件升级, 支持网页接入。需为每个OV server订购.</t>
  </si>
  <si>
    <t>PW5N-OVGA1KN</t>
  </si>
  <si>
    <t>5年 24X7 合作伙伴软件支持服务，针对 OV2500 NMS - 版本 4 OV-GA-1K-N. 包括 24x7技术支持, 软件升级, 支持网页接入。需为每个OV server订购.</t>
  </si>
  <si>
    <t>PW5N-OVGA20N</t>
  </si>
  <si>
    <t>5年 24X7 合作伙伴软件支持服务，针对 OV2500 NMS - 版本 4 OV-GA-20-N. 包括 24x7 技术支持, 软件升级, 支持网页接入。需为每个OV server订购.</t>
  </si>
  <si>
    <t>PW5N-OVGA500N</t>
  </si>
  <si>
    <t>5年 24X7 合作伙伴软件支持服务，针对 OV2500 NMS - 版本 4 OV-GA-500-N. 包括 24x7 技术支持, 软件升级, 支持网页接入。需为每个OV server订购.</t>
  </si>
  <si>
    <t>PW5N-OVGA50N</t>
  </si>
  <si>
    <t>5年 24X7 合作伙伴软件支持服务，针对 OV2500 NMS - 版本 4 OV-GA-50-N. 包括 24x7 技术支持, 软件升级, 支持网页接入。需为每个OV server订购.</t>
  </si>
  <si>
    <t>PW5N-OV4NMS-HA</t>
  </si>
  <si>
    <t>5年 24X7 合作伙伴软件支持服务，针对 OV2500 NMS - 版本 4 OV4-NMS-HA. 包括 24x7 远程电话支持, 问题诊断, 软件升级, 支持网页接入。需为每个OV server订购.</t>
  </si>
  <si>
    <t>PW5N-OVBYOD5KN</t>
  </si>
  <si>
    <t>5年 24X7 合作伙伴软件支持服务，针对 OV2500 NMS - 版本 4 OV-BYOD-5K-N. 包括 24x7 远程电话支持, 问题诊断, 软件升级, 支持网页接入。需为每个OV server订购.</t>
  </si>
  <si>
    <t>PW5N-OVBYOD25KN</t>
  </si>
  <si>
    <t>5年 24X7 合作伙伴软件支持服务，针对 OV2500 NMS - 版本 4 OV-BYOD-25K-N. 包括 24x7 远程电话支持, 问题诊断, 软件升级, 支持网页接入。需为每个OV server订购.</t>
  </si>
  <si>
    <t>PW5N-OVGA5KN</t>
  </si>
  <si>
    <t>5年 24X7 合作伙伴软件支持服务，针对 OV2500 NMS - 版本 4 OV-GA-5K-N. 包括 24x7 远程电话支持, 问题诊断, 软件升级, 支持网页接入。需为每个OV server订购.</t>
  </si>
  <si>
    <t>PW5N-OVGA25KN</t>
  </si>
  <si>
    <t>5年 24X7 合作伙伴软件支持服务，针对 OV2500 NMS - 版本 4 OV-GA-25K-N. 包括 24x7 远程电话支持, 问题诊断, 软件升级, 支持网页接入。需为每个OV server订购.</t>
  </si>
  <si>
    <t>PW3N-APWCF10N</t>
  </si>
  <si>
    <t xml:space="preserve">3年 24X7 合作伙伴软件支持服务。针对OV-AP-WCF-10-N。针对  OV-AP-WCF-10-N 包括 24x7 远程电话支持, 问题诊断、支持网页接入、软件更新和升级。 </t>
  </si>
  <si>
    <t>PW5N-APWCF10N</t>
  </si>
  <si>
    <t xml:space="preserve">5年 24X7 合作伙伴软件支持服务。针对OV-AP-WCF-10-N。针对  OV-AP-WCF-10-N 包括 24x7 远程电话支持, 问题诊断、支持网页接入、软件更新和升级。 </t>
  </si>
  <si>
    <t>PW3N-OVAPNM1KN</t>
  </si>
  <si>
    <t>3年 24X7 合作伙伴软件支持服务。针对 OV2500 NMS - 版本 4 OV-AP-EX-1K-N. 包括 24x7 远程电话支持, 问题诊断, 软件升级, 支持网页接入。需为每个OV server订购.</t>
  </si>
  <si>
    <t>PW5N-OVAPNM1KN</t>
  </si>
  <si>
    <t>5年 24X7 合作伙伴软件支持服务。针对 OV2500 NMS - 版本 4 OV-AP-EX-1K-N. 包括 24x7 远程电话支持, 问题诊断, 软件升级, 支持网页接入。需为每个OV server订购.</t>
  </si>
  <si>
    <t>PW1N-APWCF10N</t>
  </si>
  <si>
    <t>1年 24X7 合作伙伴软件支持服务，针对 OV2500 NMS - 版本 4 APWCF10N 包括 24x7 技术支持, 软件升级, 支持网页接入。需为每个OV server订购.</t>
  </si>
  <si>
    <t>PW1N-OV4NMS-HA</t>
  </si>
  <si>
    <t>1年 24X7 合作伙伴软件支持服务，针对 OV2500 NMS - 版本 4 OV4NMS-HA包括 24x7 技术支持, 软件升级, 支持网页接入。需为每个OV server订购.</t>
  </si>
  <si>
    <t>PW1N-OV4START</t>
  </si>
  <si>
    <t>1年 24X7 合作伙伴软件支持服务，针对 OV2500 NMS - 版本 4 OV4START包括 24x7 技术支持, 软件升级, 支持网页接入。需为每个OV server订购.</t>
  </si>
  <si>
    <t>PW1N-OVAPNM100N</t>
  </si>
  <si>
    <t>1年 24X7 合作伙伴软件支持服务，针对 OV2500 NMS - 版本 4 OVAPNM100N包括 24x7 技术支持, 软件升级, 支持网页接入。需为每个OV server订购.</t>
  </si>
  <si>
    <t>PW1N-OVAPNM10N</t>
  </si>
  <si>
    <t>1年 24X7 合作伙伴软件支持服务，针对 OV2500 NMS - 版本 4 OVAPNM10N包括 24x7 技术支持, 软件升级, 支持网页接入。需为每个OV server订购.</t>
  </si>
  <si>
    <t>PW1N-OVAPNM1KN</t>
  </si>
  <si>
    <t>1年 24X7 合作伙伴软件支持服务，针对 OV2500 NMS - 版本 4 OVAPNM1KN包括 24x7 技术支持, 软件升级, 支持网页接入。需为每个OV server订购.</t>
  </si>
  <si>
    <t>PW1N-OVAPNM20N</t>
  </si>
  <si>
    <t>1年 24X7 合作伙伴软件支持服务，针对 OV2500 NMS - 版本 4 OVAPNM20N包括 24x7 技术支持, 软件升级, 支持网页接入。需为每个OV server订购.</t>
  </si>
  <si>
    <t>PW1N-OVAPNM500N</t>
  </si>
  <si>
    <t>1年 24X7 合作伙伴软件支持服务，针对 OV2500 NMS - 版本 4 OVAPNM500N包括 24x7 技术支持, 软件升级, 支持网页接入。需为每个OV server订购.</t>
  </si>
  <si>
    <t>PW1N-OVAPNM50N</t>
  </si>
  <si>
    <t>1年 24X7 合作伙伴软件支持服务，针对 OV2500 NMS - 版本 4 OVAPNM50N包括 24x7 技术支持, 软件升级, 支持网页接入。需为每个OV server订购.</t>
  </si>
  <si>
    <t>PW1N-OVBYOD100N</t>
  </si>
  <si>
    <t>1年 24X7 合作伙伴软件支持服务，针对 OV2500 NMS - 版本 4 OVBYOD100N包括 24x7 技术支持, 软件升级, 支持网页接入。需为每个OV server订购.</t>
  </si>
  <si>
    <t>PW1N-OVBYOD1KN</t>
  </si>
  <si>
    <t>1年 24X7 合作伙伴软件支持服务，针对 OV2500 NMS - 版本 4 OVBYOD1KN包括 24x7 技术支持, 软件升级, 支持网页接入。需为每个OV server订购.</t>
  </si>
  <si>
    <t>PW1N-OVBYOD20N</t>
  </si>
  <si>
    <t>1年 24X7 合作伙伴软件支持服务，针对 OV2500 NMS - 版本 4 OVBYOD20N包括 24x7 技术支持, 软件升级, 支持网页接入。需为每个OV server订购.</t>
  </si>
  <si>
    <t>PW1N-OVBYOD25KN</t>
  </si>
  <si>
    <t>1年 24X7 合作伙伴软件支持服务，针对 OV2500 NMS - 版本 4 OVBYOD25KN包括 24x7 技术支持, 软件升级, 支持网页接入。需为每个OV server订购.</t>
  </si>
  <si>
    <t>PW1N-OVBYOD500N</t>
  </si>
  <si>
    <t>1年 24X7 合作伙伴软件支持服务，针对 OV2500 NMS - 版本 4 OVBYOD500N包括 24x7 技术支持, 软件升级, 支持网页接入。需为每个OV server订购.</t>
  </si>
  <si>
    <t>PW1N-OVBYOD50N</t>
  </si>
  <si>
    <t>1年 24X7 合作伙伴软件支持服务，针对 OV2500 NMS - 版本 4 OVBYOD50N包括 24x7 技术支持, 软件升级, 支持网页接入。需为每个OV server订购.</t>
  </si>
  <si>
    <t>PW1N-OVBYOD5KN</t>
  </si>
  <si>
    <t>1年 24X7 合作伙伴软件支持服务，针对 OV2500 NMS - 版本 4 OVBYOD5KN包括 24x7 技术支持, 软件升级, 支持网页接入。需为每个OV server订购.</t>
  </si>
  <si>
    <t>PW1N-OVGA100N</t>
  </si>
  <si>
    <t>1年 24X7 合作伙伴软件支持服务，针对 OV2500 NMS - 版本 4 OVGA100N包括 24x7 技术支持, 软件升级, 支持网页接入。需为每个OV server订购.</t>
  </si>
  <si>
    <t>PW1N-OVGA1KN</t>
  </si>
  <si>
    <t>1年 24X7 合作伙伴软件支持服务，针对 OV2500 NMS - 版本 4 OVGA1KN包括 24x7 技术支持, 软件升级, 支持网页接入。需为每个OV server订购.</t>
  </si>
  <si>
    <t>PW1N-OVGA20N</t>
  </si>
  <si>
    <t>1年 24X7 合作伙伴软件支持服务，针对 OV2500 NMS - 版本 4 OVGA20N包括 24x7 技术支持, 软件升级, 支持网页接入。需为每个OV server订购.</t>
  </si>
  <si>
    <t>PW1N-OVGA25KN</t>
  </si>
  <si>
    <t>1年 24X7 合作伙伴软件支持服务，针对 OV2500 NMS - 版本 4 OVGA25KN包括 24x7 技术支持, 软件升级, 支持网页接入。需为每个OV server订购.</t>
  </si>
  <si>
    <t>PW1N-OVGA500N</t>
  </si>
  <si>
    <t>1年 24X7 合作伙伴软件支持服务，针对 OV2500 NMS - 版本 4 OVGA500N包括 24x7 技术支持, 软件升级, 支持网页接入。需为每个OV server订购.</t>
  </si>
  <si>
    <t>PW1N-OVGA50N</t>
  </si>
  <si>
    <t>1年 24X7 合作伙伴软件支持服务，针对 OV2500 NMS - 版本 4 OVGA50N包括 24x7 技术支持, 软件升级, 支持网页接入。需为每个OV server订购.</t>
  </si>
  <si>
    <t>PW1N-OVGA5KN</t>
  </si>
  <si>
    <t>1年 24X7 合作伙伴软件支持服务，针对 OV2500 NMS - 版本 4 OVGA5KN包括 24x7 技术支持, 软件升级, 支持网页接入。需为每个OV server订购.</t>
  </si>
  <si>
    <t>PW1N-OVNMEX10</t>
  </si>
  <si>
    <t>1年 24X7 合作伙伴软件支持服务，针对 OV2500 NMS - 版本 4 OVNMEX10包括 24x7 技术支持, 软件升级, 支持网页接入。需为每个OV server订购.</t>
  </si>
  <si>
    <t>PW1N-OVNMEX100</t>
  </si>
  <si>
    <t>1年 24X7 合作伙伴软件支持服务，针对 OV2500 NMS - 版本 4 OVNMEX100包括 24x7 技术支持, 软件升级, 支持网页接入。需为每个OV server订购.</t>
  </si>
  <si>
    <t>PW1N-OVNMEX1K</t>
  </si>
  <si>
    <t>1年 24X7 合作伙伴软件支持服务，针对 OV2500 NMS - 版本 4 OVNMEX1K包括 24x7 技术支持, 软件升级, 支持网页接入。需为每个OV server订购.</t>
  </si>
  <si>
    <t>PW1N-OVNMEX20</t>
  </si>
  <si>
    <t>1年 24X7 合作伙伴软件支持服务，针对 OV2500 NMS - 版本 4 OVNMEX20包括 24x7 技术支持, 软件升级, 支持网页接入。需为每个OV server订购.</t>
  </si>
  <si>
    <t>PW1N-OVNMEX50</t>
  </si>
  <si>
    <t>1年 24X7 合作伙伴软件支持服务，针对 OV2500 NMS - 版本 4 OVNMEX50包括 24x7 技术支持, 软件升级, 支持网页接入。需为每个OV server订购.</t>
  </si>
  <si>
    <t>PW1N-OVNMEX500</t>
  </si>
  <si>
    <t>1年 24X7 合作伙伴软件支持服务，针对 OV2500 NMS - 版本 4 OVNMEX500包括 24x7 技术支持, 软件升级, 支持网页接入。需为每个OV server订购.</t>
  </si>
  <si>
    <t>PW1N-OVVMM1K</t>
  </si>
  <si>
    <t>1年 24X7 合作伙伴软件支持服务，针对 OV2500 NMS - 版本 4 OVVMM1K包括 24x7 技术支持, 软件升级, 支持网页接入。需为每个OV server订购.</t>
  </si>
  <si>
    <t>PW1N-OVVMM200</t>
  </si>
  <si>
    <t>1年 24X7 合作伙伴软件支持服务，针对 OV2500 NMS - 版本 4 OVVMM200包括 24x7 技术支持, 软件升级, 支持网页接入。需为每个OV server订购.</t>
  </si>
  <si>
    <t>PW1N-OVVMM500</t>
  </si>
  <si>
    <t>1年 24X7 合作伙伴软件支持服务，针对 OV2500 NMS - 版本 4 OVVMM500包括 24x7 技术支持, 软件升级, 支持网页接入。需为每个OV server订购.</t>
  </si>
  <si>
    <t>PW2N-APWCF10N</t>
  </si>
  <si>
    <t>2年 24X7 合作伙伴软件支持服务，针对 OV2500 NMS - 版本 4 APWCF10N包括 24x7 技术支持, 软件升级, 支持网页接入。需为每个OV server订购.</t>
  </si>
  <si>
    <t>PW2N-OV4NMS-HA</t>
  </si>
  <si>
    <t>2年 24X7 合作伙伴软件支持服务，针对 OV2500 NMS - 版本 4 OV4NMS-HA包括 24x7 技术支持, 软件升级, 支持网页接入。需为每个OV server订购.</t>
  </si>
  <si>
    <t>PW2N-OV4START</t>
  </si>
  <si>
    <t>2年 24X7 合作伙伴软件支持服务，针对 OV2500 NMS - 版本 4 OV4START包括 24x7 技术支持, 软件升级, 支持网页接入。需为每个OV server订购.</t>
  </si>
  <si>
    <t>PW2N-OVAPNM100N</t>
  </si>
  <si>
    <t>2年 24X7 合作伙伴软件支持服务，针对 OV2500 NMS - 版本 4 OVAPNM100N包括 24x7 技术支持, 软件升级, 支持网页接入。需为每个OV server订购.</t>
  </si>
  <si>
    <t>PW2N-OVAPNM10N</t>
  </si>
  <si>
    <t>2年 24X7 合作伙伴软件支持服务，针对 OV2500 NMS - 版本 4 OVAPNM10N包括 24x7 技术支持, 软件升级, 支持网页接入。需为每个OV server订购.</t>
  </si>
  <si>
    <t>PW2N-OVAPNM1KN</t>
  </si>
  <si>
    <t>2年 24X7 合作伙伴软件支持服务，针对 OV2500 NMS - 版本 4 OVAPNM1KN包括 24x7 技术支持, 软件升级, 支持网页接入。需为每个OV server订购.</t>
  </si>
  <si>
    <t>PW2N-OVAPNM20N</t>
  </si>
  <si>
    <t>2年 24X7 合作伙伴软件支持服务，针对 OV2500 NMS - 版本 4 OVAPNM20N包括 24x7 技术支持, 软件升级, 支持网页接入。需为每个OV server订购.</t>
  </si>
  <si>
    <t>PW2N-OVAPNM500N</t>
  </si>
  <si>
    <t>2年 24X7 合作伙伴软件支持服务，针对 OV2500 NMS - 版本 4 OVAPNM500N包括 24x7 技术支持, 软件升级, 支持网页接入。需为每个OV server订购.</t>
  </si>
  <si>
    <t>PW2N-OVAPNM50N</t>
  </si>
  <si>
    <t>2年 24X7 合作伙伴软件支持服务，针对 OV2500 NMS - 版本 4 OVAPNM50N包括 24x7 技术支持, 软件升级, 支持网页接入。需为每个OV server订购.</t>
  </si>
  <si>
    <t>PW2N-OVBYOD100N</t>
  </si>
  <si>
    <t>2年 24X7 合作伙伴软件支持服务，针对 OV2500 NMS - 版本 4 OVBYOD100N包括 24x7 技术支持, 软件升级, 支持网页接入。需为每个OV server订购.</t>
  </si>
  <si>
    <t>PW2N-OVBYOD1KN</t>
  </si>
  <si>
    <t>2年 24X7 合作伙伴软件支持服务，针对 OV2500 NMS - 版本 4 OVBYOD1KN包括 24x7 技术支持, 软件升级, 支持网页接入。需为每个OV server订购.</t>
  </si>
  <si>
    <t>PW2N-OVBYOD20N</t>
  </si>
  <si>
    <t>2年 24X7 合作伙伴软件支持服务，针对 OV2500 NMS - 版本 4 OVBYOD20N包括 24x7 技术支持, 软件升级, 支持网页接入。需为每个OV server订购.</t>
  </si>
  <si>
    <t>PW2N-OVBYOD25KN</t>
  </si>
  <si>
    <t>2年 24X7 合作伙伴软件支持服务，针对 OV2500 NMS - 版本 4 OVBYOD25KN包括 24x7 技术支持, 软件升级, 支持网页接入。需为每个OV server订购.</t>
  </si>
  <si>
    <t>PW2N-OVBYOD500N</t>
  </si>
  <si>
    <t>2年 24X7 合作伙伴软件支持服务，针对 OV2500 NMS - 版本 4 OVBYOD500N包括 24x7 技术支持, 软件升级, 支持网页接入。需为每个OV server订购.</t>
  </si>
  <si>
    <t>PW2N-OVBYOD50N</t>
  </si>
  <si>
    <t>2年 24X7 合作伙伴软件支持服务，针对 OV2500 NMS - 版本 4 OVBYOD50N包括 24x7 技术支持, 软件升级, 支持网页接入。需为每个OV server订购.</t>
  </si>
  <si>
    <t>PW2N-OVBYOD5KN</t>
  </si>
  <si>
    <t>2年 24X7 合作伙伴软件支持服务，针对 OV2500 NMS - 版本 4 OVBYOD5KN包括 24x7 技术支持, 软件升级, 支持网页接入。需为每个OV server订购.</t>
  </si>
  <si>
    <t>PW2N-OVGA100N</t>
  </si>
  <si>
    <t>2年 24X7 合作伙伴软件支持服务，针对 OV2500 NMS - 版本 4 OVGA100N包括 24x7 技术支持, 软件升级, 支持网页接入。需为每个OV server订购.</t>
  </si>
  <si>
    <t>PW2N-OVGA1KN</t>
  </si>
  <si>
    <t>2年 24X7 合作伙伴软件支持服务，针对 OV2500 NMS - 版本 4 OVGA1KN包括 24x7 技术支持, 软件升级, 支持网页接入。需为每个OV server订购.</t>
  </si>
  <si>
    <t>PW2N-OVGA20N</t>
  </si>
  <si>
    <t>2年 24X7 合作伙伴软件支持服务，针对 OV2500 NMS - 版本 4 OVGA20N包括 24x7 技术支持, 软件升级, 支持网页接入。需为每个OV server订购.</t>
  </si>
  <si>
    <t>PW2N-OVGA25KN</t>
  </si>
  <si>
    <t>2年 24X7 合作伙伴软件支持服务，针对 OV2500 NMS - 版本 4 OVGA25KN包括 24x7 技术支持, 软件升级, 支持网页接入。需为每个OV server订购.</t>
  </si>
  <si>
    <t>PW2N-OVGA500N</t>
  </si>
  <si>
    <t>2年 24X7 合作伙伴软件支持服务，针对 OV2500 NMS - 版本 4 OVGA500N包括 24x7 技术支持, 软件升级, 支持网页接入。需为每个OV server订购.</t>
  </si>
  <si>
    <t>PW2N-OVGA50N</t>
  </si>
  <si>
    <t>2年 24X7 合作伙伴软件支持服务，针对 OV2500 NMS - 版本 4 OVGA50N包括 24x7 技术支持, 软件升级, 支持网页接入。需为每个OV server订购.</t>
  </si>
  <si>
    <t>PW2N-OVGA5KN</t>
  </si>
  <si>
    <t>2年 24X7 合作伙伴软件支持服务，针对 OV2500 NMS - 版本 4 OVGA5KN包括 24x7 技术支持, 软件升级, 支持网页接入。需为每个OV server订购.</t>
  </si>
  <si>
    <t>PW2N-OVNMEX10</t>
  </si>
  <si>
    <t>2年 24X7 合作伙伴软件支持服务，针对 OV2500 NMS - 版本 4 OVNMEX10包括 24x7 技术支持, 软件升级, 支持网页接入。需为每个OV server订购.</t>
  </si>
  <si>
    <t>PW2N-OVNMEX100</t>
  </si>
  <si>
    <t>2年 24X7 合作伙伴软件支持服务，针对 OV2500 NMS - 版本 4 OVNMEX100包括 24x7 技术支持, 软件升级, 支持网页接入。需为每个OV server订购.</t>
  </si>
  <si>
    <t>PW2N-OVNMEX1K</t>
  </si>
  <si>
    <t>2年 24X7 合作伙伴软件支持服务，针对 OV2500 NMS - 版本 4 OVNMEX1K包括 24x7 技术支持, 软件升级, 支持网页接入。需为每个OV server订购.</t>
  </si>
  <si>
    <t>PW2N-OVNMEX20</t>
  </si>
  <si>
    <t>2年 24X7 合作伙伴软件支持服务，针对 OV2500 NMS - 版本 4 OVNMEX20包括 24x7 技术支持, 软件升级, 支持网页接入。需为每个OV server订购.</t>
  </si>
  <si>
    <t>PW2N-OVNMEX50</t>
  </si>
  <si>
    <t>2年 24X7 合作伙伴软件支持服务，针对 OV2500 NMS - 版本 4 OVNMEX50包括 24x7 技术支持, 软件升级, 支持网页接入。需为每个OV server订购.</t>
  </si>
  <si>
    <t>PW2N-OVNMEX500</t>
  </si>
  <si>
    <t>2年 24X7 合作伙伴软件支持服务，针对 OV2500 NMS - 版本 4 OVNMEX500包括 24x7 技术支持, 软件升级, 支持网页接入。需为每个OV server订购.</t>
  </si>
  <si>
    <t>PW2N-OVVMM1K</t>
  </si>
  <si>
    <t>2年 24X7 合作伙伴软件支持服务，针对 OV2500 NMS - 版本 4 OVVMM1K包括 24x7 技术支持, 软件升级, 支持网页接入。需为每个OV server订购.</t>
  </si>
  <si>
    <t>PW2N-OVVMM200</t>
  </si>
  <si>
    <t>2年 24X7 合作伙伴软件支持服务，针对 OV2500 NMS - 版本 4 OVVMM200包括 24x7 技术支持, 软件升级, 支持网页接入。需为每个OV server订购.</t>
  </si>
  <si>
    <t>PW2N-OVVMM500</t>
  </si>
  <si>
    <t>2年 24X7 合作伙伴软件支持服务，针对 OV2500 NMS - 版本 4 OVVMM500包括 24x7 技术支持, 软件升级, 支持网页接入。需为每个OV server订购.</t>
  </si>
  <si>
    <t>PWM1-APWCF10N</t>
  </si>
  <si>
    <t>1月 24X7 合作伙伴软件支持服务，针对 OV2500 NMS - 版本 4 AP-WCF-10-N. 包括 24x7 远程电话支持, 问题诊断, 软件升级, 支持网页接入。需为每个OV server订购.</t>
  </si>
  <si>
    <t>PWM1-OV4NMS-HA</t>
  </si>
  <si>
    <t>1月 24X7 合作伙伴软件支持服务，针对 OV2500 NMS - 版本 4 OV4NMS-HA包括 24x7 技术支持, 软件升级, 支持网页接入。需为每个OV server订购.</t>
  </si>
  <si>
    <t>PWM1-OV4START</t>
  </si>
  <si>
    <t>1月 24X7 合作伙伴软件支持服务，针对 OV2500 NMS - 版本 4 OV4START包括 24x7 技术支持, 软件升级, 支持网页接入。需为每个OV server订购.</t>
  </si>
  <si>
    <t>PWM1-OVAPNM100N</t>
  </si>
  <si>
    <t>1月 24X7 合作伙伴软件支持服务，针对 OV2500 NMS - 版本 4 OVAPNM100N包括 24x7 技术支持, 软件升级, 支持网页接入。需为每个OV server订购.</t>
  </si>
  <si>
    <t>PWM1-OVAPNM10N</t>
  </si>
  <si>
    <t>1月 24X7 合作伙伴软件支持服务，针对 OV2500 NMS - 版本 4 OVAPNM10N包括 24x7 技术支持, 软件升级, 支持网页接入。需为每个OV server订购.</t>
  </si>
  <si>
    <t>PWM1-OVAPNM1KN</t>
  </si>
  <si>
    <t>1月 24X7 合作伙伴软件支持服务，针对 OV2500 NMS - 版本 4 OVAPNM1KN包括 24x7 技术支持, 软件升级, 支持网页接入。需为每个OV server订购.</t>
  </si>
  <si>
    <t>PWM1-OVAPNM20N</t>
  </si>
  <si>
    <t>1月 24X7 合作伙伴软件支持服务，针对 OV2500 NMS - 版本 4 OVAPNM20N包括 24x7 技术支持, 软件升级, 支持网页接入。需为每个OV server订购.</t>
  </si>
  <si>
    <t>PWM1-OVAPNM500N</t>
  </si>
  <si>
    <t>1月 24X7 合作伙伴软件支持服务，针对 OV2500 NMS - 版本 4 OVAPNM500N包括 24x7 技术支持, 软件升级, 支持网页接入。需为每个OV server订购.</t>
  </si>
  <si>
    <t>PWM1-OVAPNM50N</t>
  </si>
  <si>
    <t>1月 24X7 合作伙伴软件支持服务，针对 OV2500 NMS - 版本 4 OVAPNM50N包括 24x7 技术支持, 软件升级, 支持网页接入。需为每个OV server订购.</t>
  </si>
  <si>
    <t>PWM1-OVBYOD100N</t>
  </si>
  <si>
    <t>1月 24X7 合作伙伴软件支持服务，针对 OV2500 NMS - 版本 4 OVBYOD100N包括 24x7 技术支持, 软件升级, 支持网页接入。需为每个OV server订购.</t>
  </si>
  <si>
    <t>PWM1-OVBYOD1KN</t>
  </si>
  <si>
    <t>1月 24X7 合作伙伴软件支持服务，针对 OV2500 NMS - 版本 4 OVBYOD1KN包括 24x7 技术支持, 软件升级, 支持网页接入。需为每个OV server订购.</t>
  </si>
  <si>
    <t>PWM1-OVBYOD20N</t>
  </si>
  <si>
    <t>1月 24X7 合作伙伴软件支持服务，针对 OV2500 NMS - 版本 4 OVBYOD20N包括 24x7 技术支持, 软件升级, 支持网页接入。需为每个OV server订购.</t>
  </si>
  <si>
    <t>PWM1-OVBYOD25KN</t>
  </si>
  <si>
    <t>1月 24X7 合作伙伴软件支持服务，针对 OV2500 NMS - 版本 4 OVBYOD25KN包括 24x7 技术支持, 软件升级, 支持网页接入。需为每个OV server订购.</t>
  </si>
  <si>
    <t>PWM1-OVBYOD500N</t>
  </si>
  <si>
    <t>1月 24X7 合作伙伴软件支持服务，针对 OV2500 NMS - 版本 4 OVBYOD500N包括 24x7 技术支持, 软件升级, 支持网页接入。需为每个OV server订购.</t>
  </si>
  <si>
    <t>PWM1-OVBYOD50N</t>
  </si>
  <si>
    <t>1月 24X7 合作伙伴软件支持服务，针对 OV2500 NMS - 版本 4 OVBYOD50N包括 24x7 技术支持, 软件升级, 支持网页接入。需为每个OV server订购.</t>
  </si>
  <si>
    <t>PWM1-OVBYOD5KN</t>
  </si>
  <si>
    <t>1月 24X7 合作伙伴软件支持服务，针对 OV2500 NMS - 版本 4 OVBYOD5KN包括 24x7 技术支持, 软件升级, 支持网页接入。需为每个OV server订购.</t>
  </si>
  <si>
    <t>PWM1-OVGA100N</t>
  </si>
  <si>
    <t>1月 24X7 合作伙伴软件支持服务，针对 OV2500 NMS - 版本 4 OVGA100N包括 24x7 技术支持, 软件升级, 支持网页接入。需为每个OV server订购.</t>
  </si>
  <si>
    <t>PWM1-OVGA1KN</t>
  </si>
  <si>
    <t>1月 24X7 合作伙伴软件支持服务，针对 OV2500 NMS - 版本 4 OVGA1KN包括 24x7 技术支持, 软件升级, 支持网页接入。需为每个OV server订购.</t>
  </si>
  <si>
    <t>PWM1-OVGA20N</t>
  </si>
  <si>
    <t>1月 24X7 合作伙伴软件支持服务，针对 OV2500 NMS - 版本 4 OVGA20N包括 24x7 技术支持, 软件升级, 支持网页接入。需为每个OV server订购.</t>
  </si>
  <si>
    <t>PWM1-OVGA25KN</t>
  </si>
  <si>
    <t>1月 24X7 合作伙伴软件支持服务，针对 OV2500 NMS - 版本 4 OVGA25KN包括 24x7 技术支持, 软件升级, 支持网页接入。需为每个OV server订购.</t>
  </si>
  <si>
    <t>PWM1-OVGA500N</t>
  </si>
  <si>
    <t>1月 24X7 合作伙伴软件支持服务，针对 OV2500 NMS - 版本 4 OVGA500N包括 24x7 技术支持, 软件升级, 支持网页接入。需为每个OV server订购.</t>
  </si>
  <si>
    <t>PWM1-OVGA50N</t>
  </si>
  <si>
    <t>1月 24X7 合作伙伴软件支持服务，针对 OV2500 NMS - 版本 4 OVGA50N包括 24x7 技术支持, 软件升级, 支持网页接入。需为每个OV server订购.</t>
  </si>
  <si>
    <t>PWM1-OVGA5KN</t>
  </si>
  <si>
    <t>1月 24X7 合作伙伴软件支持服务，针对 OV2500 NMS - 版本 4 OVGA5KN包括 24x7 技术支持, 软件升级, 支持网页接入。需为每个OV server订购.</t>
  </si>
  <si>
    <t>PWM1-OVNMEX100</t>
  </si>
  <si>
    <t>1月 24X7 合作伙伴软件支持服务，针对 OV2500 NMS - 版本 4 OVNMEX100包括 24x7 技术支持, 软件升级, 支持网页接入。需为每个OV server订购.</t>
  </si>
  <si>
    <t>PWM1-OVNMEX10</t>
  </si>
  <si>
    <t>1月 24X7 合作伙伴软件支持服务，针对 OV2500 NMS - 版本 4 OVNMEX10包括 24x7 技术支持, 软件升级, 支持网页接入。需为每个OV server订购.</t>
  </si>
  <si>
    <t>PWM1-OVNMEX1K</t>
  </si>
  <si>
    <t>1月 24X7 合作伙伴软件支持服务，针对 OV2500 NMS - 版本 4 OVNMEX1K包括 24x7 技术支持, 软件升级, 支持网页接入。需为每个OV server订购.</t>
  </si>
  <si>
    <t>PWM1-OVNMEX20</t>
  </si>
  <si>
    <t>1月 24X7 合作伙伴软件支持服务，针对 OV2500 NMS - 版本 4 OVNMEX20包括 24x7 技术支持, 软件升级, 支持网页接入。需为每个OV server订购.</t>
  </si>
  <si>
    <t>PWM1-OVNMEX500</t>
  </si>
  <si>
    <t>1月 24X7 合作伙伴软件支持服务，针对 OV2500 NMS - 版本 4 OVNMEX500包括 24x7 技术支持, 软件升级, 支持网页接入。需为每个OV server订购.</t>
  </si>
  <si>
    <t>PWM1-OVNMEX50</t>
  </si>
  <si>
    <t>1月 24X7 合作伙伴软件支持服务，针对 OV2500 NMS - 版本 4 OVNMEX50包括 24x7 技术支持, 软件升级, 支持网页接入。需为每个OV server订购.</t>
  </si>
  <si>
    <t>PWM1-OVVMM1K</t>
  </si>
  <si>
    <t>1月 24X7 合作伙伴软件支持服务，针对 OV2500 NMS - 版本 4 OVVMM1K包括 24x7 技术支持, 软件升级, 支持网页接入。需为每个OV server订购.</t>
  </si>
  <si>
    <t>PWM1-OVVMM200</t>
  </si>
  <si>
    <t>1月 24X7 合作伙伴软件支持服务，针对 OV2500 NMS - 版本 4 OVVMM200包括 24x7 技术支持, 软件升级, 支持网页接入。需为每个OV server订购.</t>
  </si>
  <si>
    <t>PWM1-OVVMM500</t>
  </si>
  <si>
    <t>1月 24X7 合作伙伴软件支持服务，针对 OV2500 NMS - 版本 4 OVVMM500包括 24x7 技术支持, 软件升级, 支持网页接入。需为每个OV server订购.</t>
  </si>
  <si>
    <t>OmniVista 3600 Air Manager Software Suite (OmniVista 3600 core Platform plus VisualRF and RAPIDS modules)</t>
  </si>
  <si>
    <t>OV3600-AM</t>
  </si>
  <si>
    <t>OmniVista 3600无线管理器软件套件用于单一服务器，可管理1设备，支持多台SKU时可成倍购买，包括3600的OmniVista核心平台，可视化和绘图软件模块（VisualRF）和恶意软件检测模块（RAPIDS），适用于OmniVista3600 8.1版本。</t>
  </si>
  <si>
    <t>OV3600-AM25-FR</t>
  </si>
  <si>
    <t>用于OV3600-AM25的1：1热备软件许可，对端服务器收到同样的限制。</t>
  </si>
  <si>
    <t>One-to-One Failover Licenses</t>
  </si>
  <si>
    <t>OV3600-AM100-FR</t>
  </si>
  <si>
    <t>用于OV3600-AM100的1：1热备软件许可，对端服务器受到同样的限制。</t>
  </si>
  <si>
    <t>OV3600-AM200-FR</t>
  </si>
  <si>
    <t>用于OV3600-AM200的1：1热备软件许可，对端服务器受到同样的限制。</t>
  </si>
  <si>
    <t>OV3600-AM50-FR</t>
  </si>
  <si>
    <t>用于OV3600-AM50的1：1热备软件许可，对端服务器受到同样的限制。</t>
  </si>
  <si>
    <t>OV3600-AM500-FR</t>
  </si>
  <si>
    <t>用于OV3600-AM500的1：1热备软件许可，对端服务器受到同样的限制。</t>
  </si>
  <si>
    <t>OV3600-AM50FRX</t>
  </si>
  <si>
    <t>OmniVista 3600 热备扩展许可，用于50个额外设备。</t>
  </si>
  <si>
    <t>OV3600-AMENT-FR</t>
  </si>
  <si>
    <t>用于OV3600-AMENT的1：1热备软件许可，对端服务器受到同样的限制。</t>
  </si>
  <si>
    <t>OV3600-AMENTFRX</t>
  </si>
  <si>
    <t>OmniVista 3600 热备扩展许可，用于2500个额外设备。</t>
  </si>
  <si>
    <t>OV3600-AMPRO-FR</t>
  </si>
  <si>
    <t>用于OV3600-AMPRO的1：1热备软件许可，对端服务器受到同样的限制。</t>
  </si>
  <si>
    <t>OmniVista 3600 Master Console</t>
  </si>
  <si>
    <t>OV3600-MASTER</t>
  </si>
  <si>
    <t>单一管理服务器软件许可，提供从单一服务器管理多台OV3600服务器的功能。</t>
  </si>
  <si>
    <t>OmniVista 3600 Server</t>
  </si>
  <si>
    <t>OV3600-HW360ENT</t>
  </si>
  <si>
    <t xml:space="preserve">OmniVista3600 DL360企业版硬件设备 </t>
  </si>
  <si>
    <t>OV3600-HW360PRO</t>
  </si>
  <si>
    <t xml:space="preserve">OmniVista3600 DL360专业版硬件设备 </t>
  </si>
  <si>
    <t>OV36CP-HW360PSU</t>
  </si>
  <si>
    <t xml:space="preserve">备用电源，用于OV3600-HW360ENT, OV3600-HW360PRO和CPA-HWDL360-25K.  </t>
  </si>
  <si>
    <t>OV3600-DL360G10</t>
  </si>
  <si>
    <t xml:space="preserve">OmniVista3600 DL360 Gen10专业版硬件设备 </t>
  </si>
  <si>
    <t>DL360G10-PSU</t>
  </si>
  <si>
    <t>ALE DL360 Gen10 硬件设备备件，500W电源模块</t>
  </si>
  <si>
    <t>OmniVista 3600 Air Manager</t>
  </si>
  <si>
    <t>OV3600-GEN10PRO</t>
  </si>
  <si>
    <t>OV3600 DL360 Gen 10 PRO 硬件 - 1500设备</t>
  </si>
  <si>
    <t>OmniVista 3600 Partner Support Software</t>
  </si>
  <si>
    <t>PW1N-OV36-100FR</t>
  </si>
  <si>
    <t>1年合作伙伴软件支持服务，针对OV36-100FR. 包括 24x7 技术支持, 软件升级, 支持网页接入。</t>
  </si>
  <si>
    <t>PW1N-OV36-200FR</t>
  </si>
  <si>
    <t>1年合作伙伴软件支持服务，针对OV36-200FR. 包括 24x7 技术支持, 软件升级, 支持网页接入。</t>
  </si>
  <si>
    <t>PW1N-OV36-25FR</t>
  </si>
  <si>
    <t>1年合作伙伴软件支持服务，针对OV36-25FR. 包括 24x7 技术支持, 软件升级, 支持网页接入。</t>
  </si>
  <si>
    <t>PW1N-OV36-500FR</t>
  </si>
  <si>
    <t>1年合作伙伴软件支持服务，针对OV36-500FR. 包括 24x7 技术支持, 软件升级, 支持网页接入。</t>
  </si>
  <si>
    <t>PW1N-OV36-50FRX</t>
  </si>
  <si>
    <t>1年合作伙伴软件支持服务，针对OV36-50FRX. 包括 24x7 技术支持, 软件升级, 支持网页接入。</t>
  </si>
  <si>
    <t>PW1N-OV36-50FR</t>
  </si>
  <si>
    <t>1年合作伙伴软件支持服务，针对OV36-50FR. 包括 24x7 技术支持, 软件升级, 支持网页接入。</t>
  </si>
  <si>
    <t>PW1N-OV36-ENTFR</t>
  </si>
  <si>
    <t>1年合作伙伴软件支持服务，针对OV36-ENTFR. 包括 24x7 技术支持, 软件升级, 支持网页接入。</t>
  </si>
  <si>
    <t>PW1N-OV36-ENTFX</t>
  </si>
  <si>
    <t>1年合作伙伴软件支持服务，针对OV36-ENTFX. 包括 24x7 技术支持, 软件升级, 支持网页接入。</t>
  </si>
  <si>
    <t>PW1N-OV36-PROFR</t>
  </si>
  <si>
    <t>1年合作伙伴软件支持服务，针对OV36-PROFR. 包括 24x7 技术支持, 软件升级, 支持网页接入。</t>
  </si>
  <si>
    <t>PW1N-OV3600-AM</t>
  </si>
  <si>
    <t>1年合作伙伴软件支持服务，针对OV3600-AM. 包括 24x7 技术支持, 软件升级, 支持网页接入。</t>
  </si>
  <si>
    <t>PW2N-OV36-100FR</t>
  </si>
  <si>
    <t>2年合作伙伴软件支持服务，针对OV36-100FR. 包括 24x7 技术支持, 软件升级, 支持网页接入。</t>
  </si>
  <si>
    <t>PW2N-OV36-200FR</t>
  </si>
  <si>
    <t>2年合作伙伴软件支持服务，针对OV36-200FR. 包括 24x7 技术支持, 软件升级, 支持网页接入。</t>
  </si>
  <si>
    <t>PW2N-OV36-25FR</t>
  </si>
  <si>
    <t>2年合作伙伴软件支持服务，针对OV36-25FR. 包括 24x7 技术支持, 软件升级, 支持网页接入。</t>
  </si>
  <si>
    <t>PW2N-OV36-500FR</t>
  </si>
  <si>
    <t>2年合作伙伴软件支持服务，针对OV36-500FR. 包括 24x7 技术支持, 软件升级, 支持网页接入。</t>
  </si>
  <si>
    <t>PW2N-OV36-50FRX</t>
  </si>
  <si>
    <t>2年合作伙伴软件支持服务，针对OV36-50FRX. 包括 24x7 技术支持, 软件升级, 支持网页接入。</t>
  </si>
  <si>
    <t>PW2N-OV36-50FR</t>
  </si>
  <si>
    <t>2年合作伙伴软件支持服务，针对OV36-50FR. 包括 24x7 技术支持, 软件升级, 支持网页接入。</t>
  </si>
  <si>
    <t>PW2N-OV36-ENTFR</t>
  </si>
  <si>
    <t>2年合作伙伴软件支持服务，针对OV36-ENTFR. 包括 24x7 技术支持, 软件升级, 支持网页接入。</t>
  </si>
  <si>
    <t>PW2N-OV36-ENTFX</t>
  </si>
  <si>
    <t>2年合作伙伴软件支持服务，针对OV36-ENTFX. 包括 24x7 技术支持, 软件升级, 支持网页接入。</t>
  </si>
  <si>
    <t>PW2N-OV36-PROFR</t>
  </si>
  <si>
    <t>2年合作伙伴软件支持服务，针对OV36-PROFR. 包括 24x7 技术支持, 软件升级, 支持网页接入。</t>
  </si>
  <si>
    <t>PW2N-OV3600-AM</t>
  </si>
  <si>
    <t>2年合作伙伴软件支持服务，针对OV3600-AM. 包括 24x7 技术支持, 软件升级, 支持网页接入。</t>
  </si>
  <si>
    <t>PW5N-OV36-100FR</t>
  </si>
  <si>
    <t>5年合作伙伴软件支持服务，针对OV3600-AM100-FR. 包括 24x7 技术支持, 软件升级, 支持网页接入。</t>
  </si>
  <si>
    <t>PW5N-OV36-200FR</t>
  </si>
  <si>
    <t>5年合作伙伴软件支持服务，针对OV3600-AM200-FR. 包括 24x7 技术支持, 软件升级, 支持网页接入。</t>
  </si>
  <si>
    <t>PW5N-OV36-25FR</t>
  </si>
  <si>
    <t>5年合作伙伴软件支持服务，针对OV3600-AM25-FR. 包括 24x7技术支持, 软件升级, 支持网页接入。</t>
  </si>
  <si>
    <t>PW5N-OV36-500FR</t>
  </si>
  <si>
    <t>5年合作伙伴软件支持服务，针对OV3600-AM500-FR. 包括 24x7 技术支持, 软件升级, 支持网页接入。</t>
  </si>
  <si>
    <t>PW5N-OV36-50FRX</t>
  </si>
  <si>
    <t>5年合作伙伴软件支持服务，针对OV3600-AM50FRX. 包括 24x7 技术支持, 软件升级, 支持网页接入。</t>
  </si>
  <si>
    <t>PW5N-OV36-50FR</t>
  </si>
  <si>
    <t>5年合作伙伴软件支持服务，针对OV3600-AM50-FR. 包括 24x7 技术支持, 软件升级, 支持网页接入。</t>
  </si>
  <si>
    <t>PW5N-OV36-ENTFR</t>
  </si>
  <si>
    <t>5年合作伙伴软件支持服务，针对OV3600-AMENT-FR. 包括 24x7 技术支持, 软件升级, 支持网页接入。</t>
  </si>
  <si>
    <t>PW5N-OV36-ENTFX</t>
  </si>
  <si>
    <t>5年合作伙伴软件支持服务，针对OV3600-AMENTFRX. 包括 24x7 技术支持, 软件升级, 支持网页接入。</t>
  </si>
  <si>
    <t>PW5N-OV36-PROFR</t>
  </si>
  <si>
    <t>5年合作伙伴软件支持服务，针对OV3600-AMPRO-FR. 包括 24x7 技术支持, 软件升级, 支持网页接入。</t>
  </si>
  <si>
    <t>PW5N-OV3600-AM</t>
  </si>
  <si>
    <t>5年合作伙伴软件支持服务，针对OV3600-AM. 包括 24x7 技术支持, 软件升级, 支持网页接入。</t>
  </si>
  <si>
    <t>类别</t>
  </si>
  <si>
    <t>子类别</t>
  </si>
  <si>
    <t>型号</t>
  </si>
  <si>
    <t>描述</t>
  </si>
  <si>
    <t>服务状态</t>
  </si>
  <si>
    <t>状态</t>
  </si>
  <si>
    <t>服务和支持</t>
  </si>
  <si>
    <t>OmniSwitch 9900</t>
  </si>
  <si>
    <t>PP1C-OS9900</t>
  </si>
  <si>
    <t>适用于OS9900 1年AVR。包括7x24小时远程电话支持，以及下一个日历日的AVR。AVR包括OS9900机框，模块，电源和风扇框</t>
  </si>
  <si>
    <t>OmniSwitch 9500</t>
  </si>
  <si>
    <t>OS9500 Partner Support</t>
  </si>
  <si>
    <t>PP1C-OS9503</t>
  </si>
  <si>
    <t>适用于OS9503 1年AVR。包括5x8小时远程电话支持，以及下一个日历日的AVR。AVR包括OS9503机框，模块，电源和风扇框</t>
  </si>
  <si>
    <t>PP1C-OS9506</t>
  </si>
  <si>
    <t>适用于OS9506 1年AVR。包括5x8小时远程电话支持，以及下一个日历日的AVR。AVR包括OS9504机框，模块，电源和风扇框</t>
  </si>
  <si>
    <t>OmniSwitch 6900</t>
  </si>
  <si>
    <t>PP1C-OS6900</t>
  </si>
  <si>
    <t>适用于所有OS6900型号 1年AVR。包括5x8小时远程电话支持，以及下一个工作日的AVR。AVR包括OS6900电源、模块、风扇盘</t>
  </si>
  <si>
    <t>OmniSwitch 6865</t>
  </si>
  <si>
    <t>PP1C-OS6865</t>
  </si>
  <si>
    <t xml:space="preserve">适用于所有OS6865型号 1年AVR。包括5x8小时远程电话支持，以及下一个工作日的AVR。OmniSwitch 6865电源提供包含在高级硬件更换里面 </t>
  </si>
  <si>
    <t>OmniSwitch 6860</t>
  </si>
  <si>
    <t>PP1C-OS6860</t>
  </si>
  <si>
    <t>适用于所有OS6860基本型号和增强型号 1年AVR。包括5x8小时远程电话支持，以及下一个工作日的AVR。AVR包括OmniSwitch 6860电源提供和OS6860-FT</t>
  </si>
  <si>
    <t>OmniSwitch 6560</t>
  </si>
  <si>
    <t>PP1C-OS6560</t>
  </si>
  <si>
    <t xml:space="preserve">适用于所有OS6560型号 1年AVR。包括5x8小时远程电话支持，以及下一个工作日的AVR。OmniSwitch 6560电源提供包含在高级硬件更换里面   </t>
  </si>
  <si>
    <t>OmniSwitch 6465</t>
  </si>
  <si>
    <t>PP1C-OS6465</t>
  </si>
  <si>
    <t xml:space="preserve">适用于所有OS6465型号 1年AVR。包括5x8小时远程电话支持，以及下一个工作日的AVR。OmniSwitch 6465电源提供包含在高级硬件更换里面 </t>
  </si>
  <si>
    <t>OmniSwitch 6450</t>
  </si>
  <si>
    <t>PP1C-OS6450</t>
  </si>
  <si>
    <t>适用于所有OS6450 24和48口型号 1年AVR。包括5x8小时远程电话支持，以及下一个工作日的AVR。</t>
  </si>
  <si>
    <t>OmniSwitch 6360</t>
  </si>
  <si>
    <t>PP1C-OS6360</t>
  </si>
  <si>
    <t>适用于OS6360 1年AVR。包括5x8小时电话支持，问题诊断。以及下一个工作日的AVR。</t>
  </si>
  <si>
    <t>OmniSwitch 6350</t>
  </si>
  <si>
    <t>OmniSwitch 6350 Partner Support</t>
  </si>
  <si>
    <t>PP1C-OS6350</t>
  </si>
  <si>
    <t>适用于OS6350所有型号 1年AVR。包括5x8小时远程电话支持，以及访问支持门户和以及下一个工作日的AVR。</t>
  </si>
  <si>
    <t xml:space="preserve">OmniSwitch 2X60  </t>
  </si>
  <si>
    <t>OS2260 Partner Support</t>
  </si>
  <si>
    <t>PP1C-OS2X60</t>
  </si>
  <si>
    <t>适用于OS2X60的1年合作伙伴支持Plus（续保）。包括5x8小时电话支持，问题诊断，访问支持门户，软件更新和升级。下一个工作日AVR，请检查每个国家是否适用。</t>
  </si>
  <si>
    <t>OmniAccess Stellar WLAN</t>
  </si>
  <si>
    <t>OmniAccess Stellar Partner Support</t>
  </si>
  <si>
    <t>PP1C-OAWAP11XX</t>
  </si>
  <si>
    <t>适用于OAW-AP11xx的1年合作伙伴支持Plus（续保）。包括5x8小时电话支持，问题诊断，访问支持门户，软件更新和升级。下一个工作日AVR</t>
  </si>
  <si>
    <t>PP1C-OAWAP12XX</t>
  </si>
  <si>
    <t>适用于OAW-AP12xx的1年合作伙伴支持Plus（续保）。包括5x8小时电话支持，问题诊断，访问支持门户，软件更新和升级。下一个工作日AVR</t>
  </si>
  <si>
    <t>PP1C-OAWAP13XX</t>
  </si>
  <si>
    <t>适用于OAW-AP13xx的1年合作伙伴支持Plus（续保）。包括5x8小时电话支持，问题诊断，访问支持门户，软件更新和升级。下一个工作日AVR</t>
  </si>
  <si>
    <t>PP1C-OAW6110</t>
  </si>
  <si>
    <t>适用于OAW-6110的1年合作伙伴支持Plus（续保）。包括5x8小时电话支持，问题诊断，访问支持门户，软件更新和升级。下一个工作日AVR</t>
  </si>
  <si>
    <t>OmniAccess ESR</t>
  </si>
  <si>
    <t>OmniAccess ESR Partner Support</t>
  </si>
  <si>
    <t>PP1C-ESR56000F5</t>
  </si>
  <si>
    <t>适用于ESR5600-xx的1年合作伙伴支持Plus（续保）。包括5x8小时电话支持，问题诊断，访问支持门户，软件更新和升级。下一个工作日AVR</t>
  </si>
  <si>
    <t>PP1C-ESR56000F10</t>
  </si>
  <si>
    <t>PP1C-ESR56000F20</t>
  </si>
  <si>
    <t>PP1C-ESR56000F30</t>
  </si>
  <si>
    <t>PP1C-ESR56000F40</t>
  </si>
  <si>
    <t>PP1C-ESR56000F50</t>
  </si>
  <si>
    <t>Power Cords for Rest of World</t>
  </si>
  <si>
    <t>PWR-CORD-CN</t>
  </si>
  <si>
    <t>中国标准电源线, 110VAC, 15A, 2.3M, 黑色，C13</t>
  </si>
  <si>
    <t>IPWR-CORD-CN</t>
  </si>
  <si>
    <t>中国标准工业级电源线.用于OS6855</t>
  </si>
  <si>
    <t>Miscellaneous Accessories</t>
  </si>
  <si>
    <t>OS-USB-FLASHDR</t>
  </si>
  <si>
    <t>被认证 OmniSwitch USB闪存，为灾难恢复和文件文件管理（备份和还原）</t>
  </si>
  <si>
    <t>OS-WIREGUARD</t>
  </si>
  <si>
    <t>1U金属前面板保护器配置。通用型设计确保电缆安全到位,保护开关的物理配置。专为标准19英寸机架安装而设计，它可以用于所有1u高 OminSwitch堆叠模型。</t>
  </si>
  <si>
    <t>OS6-REAR-MNT</t>
  </si>
  <si>
    <t>安装支架，为了从OS6850E, OS6450和24口的OS6855后面固定在19″机架上</t>
  </si>
  <si>
    <t>SFP-DUSTCVR-100</t>
  </si>
  <si>
    <t>一盒包含100个 光纤模块防尘套。</t>
  </si>
  <si>
    <t>序号</t>
  </si>
  <si>
    <t>名称</t>
  </si>
  <si>
    <t>数量</t>
  </si>
  <si>
    <t>单位</t>
  </si>
  <si>
    <t>目录价</t>
  </si>
  <si>
    <t>蓝牙定位导航</t>
  </si>
  <si>
    <t>室内定位引擎软件</t>
  </si>
  <si>
    <t>1</t>
  </si>
  <si>
    <t>定位引擎基础包</t>
  </si>
  <si>
    <t>包含室内定位管理软件，无线网络管理软件（基站实时状态监控、基站总数据吞吐量监控），统一网管平台（基站状态管理、配置下发管理、固件升级管理）</t>
  </si>
  <si>
    <t>套</t>
  </si>
  <si>
    <t>本地化部署模式</t>
  </si>
  <si>
    <t>2</t>
  </si>
  <si>
    <t>信息点定位接入授权</t>
  </si>
  <si>
    <t>10个信息点接入授权</t>
  </si>
  <si>
    <t>含蓝牙接入点</t>
  </si>
  <si>
    <t>小计:</t>
  </si>
  <si>
    <t>位置服务可视化安全管控平台软件（i-Guard）</t>
  </si>
  <si>
    <t>基础应用设置系统</t>
  </si>
  <si>
    <t>包括帐号管理、标签管理、用户管理、地图管理、告警管理、摄像头管理、系统自定义管理</t>
  </si>
  <si>
    <t>可选（须配合4.1使用）</t>
  </si>
  <si>
    <t>ibeacon NMS 监管监控系统</t>
  </si>
  <si>
    <t>可视化检测实时监测全场 ibeacon 状态，生成运维报告，可配合离线工具进行使用</t>
  </si>
  <si>
    <t>3</t>
  </si>
  <si>
    <t>导航系统软件</t>
  </si>
  <si>
    <t>HTML5室内地图导航模块</t>
  </si>
  <si>
    <t>在H5应用中集成、展现室内地图展现、POI查询、路径规划</t>
  </si>
  <si>
    <t>室内矢量地图制作（2D）</t>
  </si>
  <si>
    <t>2D/2.5D现场矢量地图生成、路网规划制作、POI 数据填补、品牌落位着色</t>
  </si>
  <si>
    <t>万平方</t>
  </si>
  <si>
    <t>室内矢量地图制作（3D）</t>
  </si>
  <si>
    <t>3D现场矢量地图生成、路网规划制作、POI 数据填补、品牌落位着色</t>
  </si>
  <si>
    <t>4</t>
  </si>
  <si>
    <t>硬件系统</t>
  </si>
  <si>
    <t>YS-TD05PA</t>
  </si>
  <si>
    <t>蓝牙4.2探针，支持220V/POE供电，支持有线/无线数据回传，含安装固定底座，含信号放大器</t>
  </si>
  <si>
    <t>台</t>
  </si>
  <si>
    <t>BLE GW，适用于空旷场景大范围侦测</t>
  </si>
  <si>
    <t>YS-VG05</t>
  </si>
  <si>
    <t>ibeacon，使用两节ER14250锂亚电池组，总电量2400mah，节点工作在0dBm,按每秒发射两个信号包计算，可以使用3年时间</t>
  </si>
  <si>
    <t xml:space="preserve"> ibeacon，室内/外 粘贴型， IP66</t>
  </si>
  <si>
    <t>YS-xRoad</t>
  </si>
  <si>
    <t>ibeacon，使用单节ER18505锂亚电池组，总电量4000mah，节点工作在0dBm,按每秒发射两个信号包计算，可以使用5年时间</t>
  </si>
  <si>
    <t xml:space="preserve"> ibeacon，室外型螺丝紧固型 IP67、抗压、高电量</t>
  </si>
  <si>
    <t>5</t>
  </si>
  <si>
    <t>第三方硬件</t>
  </si>
  <si>
    <t>YS-Ser</t>
  </si>
  <si>
    <t>定位系统服务器硬件Server,至强 E5-2660 2.2G 8C CPU，16G RAM，600G * 2 HDD，Raid 1</t>
  </si>
  <si>
    <t>Server，本地化部署服务器（可选）</t>
  </si>
  <si>
    <t>6</t>
  </si>
  <si>
    <t>技术服务</t>
  </si>
  <si>
    <t>系统平台部署</t>
  </si>
  <si>
    <t>包括定位、应用系统部署</t>
  </si>
  <si>
    <t>项</t>
  </si>
  <si>
    <t>ibeacon 安装</t>
  </si>
  <si>
    <t>现场ibeacon设备硬件配置、安装</t>
  </si>
  <si>
    <t>个</t>
  </si>
  <si>
    <t>现场技术服务支持（现场工程类）</t>
  </si>
  <si>
    <t>现场技术支持服务</t>
  </si>
  <si>
    <t>人天</t>
  </si>
  <si>
    <t>含定位系统调试、定位节点接入、</t>
  </si>
  <si>
    <t>远程技术服务支持（工程类）</t>
  </si>
  <si>
    <t>远程技术支持服务</t>
  </si>
  <si>
    <t>产品定制开发服务（研发类）</t>
  </si>
  <si>
    <t>对非标准化产品的技术对接、定制开发等技术支持</t>
  </si>
  <si>
    <t>天</t>
  </si>
  <si>
    <t>按工作量评估人力</t>
  </si>
  <si>
    <t>在线地图编辑后台</t>
  </si>
  <si>
    <t>地图后台使用权</t>
  </si>
  <si>
    <t>年</t>
  </si>
  <si>
    <t>地图后台使用授权，年租用，用户自行维护</t>
  </si>
  <si>
    <t>小计：</t>
  </si>
  <si>
    <t>税金:</t>
  </si>
  <si>
    <t>含 13%增值税率</t>
  </si>
  <si>
    <t>最终优惠价（含税）:</t>
  </si>
  <si>
    <t>定位看护（蓝牙探针方案）</t>
  </si>
  <si>
    <t>探针定位接入授权</t>
  </si>
  <si>
    <t>10个探针接入授权</t>
  </si>
  <si>
    <t>含蓝牙基站、WIFI基站、UWB 基站等</t>
  </si>
  <si>
    <t>必选</t>
  </si>
  <si>
    <t>可视化位置追踪管理系统</t>
  </si>
  <si>
    <t>包括实时位置监控、历史轨迹回放、实时热图监管、SOS 告警管理、低电量告警管理、电子围栏告警管理、防拆卸告警管理、生命体征告警管理、消失告警管理、电子点名计划、电子点名管理</t>
  </si>
  <si>
    <t>矢量地图制作</t>
  </si>
  <si>
    <t>根据场景进行2D矢量地图绘制，用于人员展现服务</t>
  </si>
  <si>
    <t>YS-TD05</t>
  </si>
  <si>
    <t>蓝牙4.2探针，支持220V/POE供电，支持有线/无线数据回传，含安装固定底座</t>
  </si>
  <si>
    <t>BLE GW，适用于蓝牙网络侧定位</t>
  </si>
  <si>
    <t>YS-C7</t>
  </si>
  <si>
    <t>TAG，蓝牙定位标签卡片，支持位置侦测、内置800mA 锂电，IP67，有效工作时间1.5年</t>
  </si>
  <si>
    <t>BLE Tag，IP67，一次性封装电池</t>
  </si>
  <si>
    <t>定位终端，自选</t>
  </si>
  <si>
    <t>YS-VBD1508</t>
  </si>
  <si>
    <t>蓝牙可充电式定位标签卡片，BLE 5.0，内置600mA 锂电，支持位置侦测、SOS 告警。支持蓝牙广播模式/蓝牙扫描转发模式</t>
  </si>
  <si>
    <t xml:space="preserve">BLE Tag，IP67，充电式、SOS </t>
  </si>
  <si>
    <t>YS-B6</t>
  </si>
  <si>
    <t>蓝牙可穿戴手环，支持位置侦测，BLE5.0,IP66无屏幕,CR2032 持续工作 6 个月以上</t>
  </si>
  <si>
    <t>BLE Band，IP 66，CR2032，一次性封装</t>
  </si>
  <si>
    <t>YS-VG08</t>
  </si>
  <si>
    <t>蓝牙可穿戴手环，支持位置侦测、SOS、心率检测、计步统计，有屏幕,BLE4.2,IP67，60mA 锂电，单次充电可工作 10 天</t>
  </si>
  <si>
    <t>BLE Band，IP67，充电式，SOS、心率监测、计步统计</t>
  </si>
  <si>
    <t>定位看护（iBeacon方案）</t>
  </si>
  <si>
    <t>YS-VB2503</t>
  </si>
  <si>
    <t>蓝牙5.0 网关，支持220V/POE供电，支持有线/无线数据回传，含安装固定底座</t>
  </si>
  <si>
    <t>BLE GW，适用于 5.0 转发模式</t>
  </si>
  <si>
    <t>定位终端
数量自选</t>
  </si>
  <si>
    <t>Server，本地化部署服务器
（可选）</t>
  </si>
  <si>
    <t>定位看护（UWB方案）</t>
  </si>
  <si>
    <t>YS-UWB2503</t>
  </si>
  <si>
    <t>UWB 网关，支持支持220V/POE供电，支持有线/无线数据回传，含安装固定底座</t>
  </si>
  <si>
    <t>UWB GW，室内外兼容</t>
  </si>
  <si>
    <t>YS-UWB1510</t>
  </si>
  <si>
    <t>UWB定位工卡，高精度定位，支持 SOS，550mA 可充电锂电，IP67，*1个月待机（1Hz）</t>
  </si>
  <si>
    <t>UWB Tag，IP67、充电式、SOS</t>
  </si>
  <si>
    <t>YS-UWB1502</t>
  </si>
  <si>
    <t>防拆卸手环，支持高精度位置定位，步数统计，支持心率、SOS、拆卸告警，1000mA 可充电锂电，IP67，*2个月待机（1Hz，主动心率触发）</t>
  </si>
  <si>
    <t>UWB Band，IP67，充电式、SOS、心率、防拆卸</t>
  </si>
  <si>
    <t>智慧物管</t>
  </si>
  <si>
    <t>智能在线巡更管理系统</t>
  </si>
  <si>
    <t>包括巡更点设置、巡更规则库设置、巡更任务设置、周期性调班设备、周期性调班设置、推送消息规则设置、警情告警设置、巡更大屏看板、巡更系统记录查询、智能报表、移动端巡更看板、移动端主管看板、移动端管理层看板、移动端申诉管理</t>
  </si>
  <si>
    <t>智能访客管理系统</t>
  </si>
  <si>
    <t>包括访客设置、访客管理、访客位置实时监测、访客状态管理、访客历史轨迹回溯；移动端访客申请、受访者审核、前台访客核验模块</t>
  </si>
  <si>
    <t>在线报事报障系统</t>
  </si>
  <si>
    <t>-</t>
  </si>
  <si>
    <t>7</t>
  </si>
  <si>
    <t>11</t>
  </si>
  <si>
    <t>12</t>
  </si>
  <si>
    <t>服务部分</t>
  </si>
  <si>
    <t>1.场景bom清单内各sheet仅为常规应用场景报价参考，具体项目报价须根据项目实际需求进行调整；</t>
  </si>
  <si>
    <t>2.各sheeet均以1万方场景为模型建立示例，因硬件数量、软件选配、人工成本根据项目实际体量变化，故仅做参考；</t>
  </si>
  <si>
    <t>3.当设计同一场景多个应用系统时，部分功能项存在重复，可与我司接口人沟通项目需求后由我司接口人给出整体报价；</t>
  </si>
  <si>
    <t>4.UWB定位的硬件投入受环境复杂度影响极大，故必须提供CAD图纸方可规划报价；</t>
  </si>
  <si>
    <t>5.本bom内单价均为仅针对上海贝尔企业通信有限公司的授权报价，不适用于第三方客户。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</si>
</sst>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"/>
    <numFmt numFmtId="177" formatCode="\¥\ #,##0.00"/>
    <numFmt numFmtId="178" formatCode="[$¥-804]#,##0;[Red][$¥-804]\-#,##0"/>
    <numFmt numFmtId="179" formatCode="0_ "/>
    <numFmt numFmtId="180" formatCode="#,##0.00\ [$€-1]"/>
    <numFmt numFmtId="181" formatCode="&quot;$&quot;#,##0.00"/>
    <numFmt numFmtId="182" formatCode="\¥#,##0;\¥\-#,##0"/>
    <numFmt numFmtId="183" formatCode="\¥#,##0_);[Red]\(\¥#,##0\)"/>
    <numFmt numFmtId="184" formatCode="[$¥-804]#,##0.00;[$¥-804]\-#,##0.00"/>
    <numFmt numFmtId="185" formatCode="00"/>
    <numFmt numFmtId="186" formatCode="_ [$¥-804]* #,##0.00_ ;_ [$¥-804]* \-#,##0.00_ ;_ [$¥-804]* &quot;-&quot;??_ ;_ @_ "/>
    <numFmt numFmtId="187" formatCode="&quot;$&quot;\ #\ ###\ ##0.00"/>
    <numFmt numFmtId="188" formatCode="[$¥-804]#,##0;[$¥-804]\-#,##0"/>
  </numFmts>
  <fonts count="95"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0"/>
      <name val="等线"/>
      <charset val="134"/>
    </font>
    <font>
      <b/>
      <sz val="18"/>
      <name val="等线"/>
      <charset val="134"/>
    </font>
    <font>
      <b/>
      <sz val="12"/>
      <color theme="1"/>
      <name val="等线"/>
      <charset val="134"/>
    </font>
    <font>
      <b/>
      <sz val="12"/>
      <name val="等线"/>
      <charset val="134"/>
    </font>
    <font>
      <sz val="10"/>
      <color theme="1"/>
      <name val="等线"/>
      <charset val="134"/>
    </font>
    <font>
      <sz val="10"/>
      <name val="等线"/>
      <charset val="134"/>
    </font>
    <font>
      <sz val="10.5"/>
      <name val="等线"/>
      <charset val="134"/>
    </font>
    <font>
      <sz val="10"/>
      <color rgb="FF000000"/>
      <name val="等线"/>
      <charset val="134"/>
    </font>
    <font>
      <b/>
      <sz val="11"/>
      <name val="等线"/>
      <charset val="134"/>
    </font>
    <font>
      <sz val="10.5"/>
      <color theme="1"/>
      <name val="等线"/>
      <charset val="134"/>
    </font>
    <font>
      <sz val="10"/>
      <name val="Trebuchet MS"/>
      <charset val="134"/>
    </font>
    <font>
      <sz val="8"/>
      <name val="Arial"/>
      <charset val="134"/>
    </font>
    <font>
      <b/>
      <i/>
      <sz val="8"/>
      <name val="宋体"/>
      <charset val="134"/>
    </font>
    <font>
      <sz val="10"/>
      <name val="Arial"/>
      <charset val="134"/>
    </font>
    <font>
      <b/>
      <u/>
      <sz val="11"/>
      <color rgb="FF000000"/>
      <name val="Calibri"/>
      <charset val="134"/>
    </font>
    <font>
      <b/>
      <i/>
      <sz val="8"/>
      <color theme="1"/>
      <name val="宋体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i/>
      <sz val="8"/>
      <name val="Arial"/>
      <charset val="134"/>
    </font>
    <font>
      <sz val="10"/>
      <color indexed="8"/>
      <name val="Arial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sz val="10"/>
      <name val="微软雅黑"/>
      <charset val="134"/>
    </font>
    <font>
      <sz val="8"/>
      <name val="Trebuchet MS"/>
      <charset val="134"/>
    </font>
    <font>
      <sz val="10"/>
      <name val="宋体"/>
      <charset val="134"/>
    </font>
    <font>
      <sz val="11"/>
      <color theme="1"/>
      <name val="Calibri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i/>
      <sz val="8"/>
      <name val="宋体"/>
      <charset val="134"/>
      <scheme val="minor"/>
    </font>
    <font>
      <b/>
      <i/>
      <sz val="10"/>
      <name val="Trebuchet MS"/>
      <charset val="134"/>
    </font>
    <font>
      <sz val="10"/>
      <color theme="1"/>
      <name val="宋体"/>
      <charset val="134"/>
    </font>
    <font>
      <b/>
      <sz val="10"/>
      <color rgb="FFFF0000"/>
      <name val="Arial"/>
      <charset val="134"/>
    </font>
    <font>
      <b/>
      <sz val="10"/>
      <color rgb="FFFF0000"/>
      <name val="宋体"/>
      <charset val="134"/>
    </font>
    <font>
      <sz val="10"/>
      <color rgb="FFFF0000"/>
      <name val="Trebuchet MS"/>
      <charset val="134"/>
    </font>
    <font>
      <sz val="10"/>
      <color rgb="FF000000"/>
      <name val="宋体"/>
      <charset val="134"/>
    </font>
    <font>
      <sz val="11"/>
      <color rgb="FFFF0000"/>
      <name val="Arial"/>
      <charset val="134"/>
    </font>
    <font>
      <sz val="11"/>
      <color rgb="FFFF0000"/>
      <name val="Calibri"/>
      <charset val="134"/>
    </font>
    <font>
      <sz val="10"/>
      <name val="Arial"/>
      <charset val="134"/>
    </font>
    <font>
      <sz val="10"/>
      <name val="宋体"/>
      <charset val="134"/>
      <scheme val="major"/>
    </font>
    <font>
      <sz val="8"/>
      <color rgb="FFFF0000"/>
      <name val="Arial"/>
      <charset val="134"/>
    </font>
    <font>
      <sz val="11"/>
      <color theme="2" tint="-0.899960325937681"/>
      <name val="Calibri"/>
      <charset val="134"/>
    </font>
    <font>
      <sz val="10"/>
      <color theme="2" tint="-0.899960325937681"/>
      <name val="Arial"/>
      <charset val="134"/>
    </font>
    <font>
      <sz val="10"/>
      <color theme="2" tint="-0.899960325937681"/>
      <name val="Trebuchet MS"/>
      <charset val="134"/>
    </font>
    <font>
      <sz val="10"/>
      <color indexed="8"/>
      <name val="宋体"/>
      <charset val="134"/>
    </font>
    <font>
      <b/>
      <sz val="10"/>
      <color rgb="FFFF0000"/>
      <name val="微软雅黑"/>
      <charset val="134"/>
    </font>
    <font>
      <b/>
      <sz val="11"/>
      <color theme="1"/>
      <name val="微软雅黑"/>
      <charset val="134"/>
    </font>
    <font>
      <sz val="10"/>
      <color theme="2" tint="-0.899990844447157"/>
      <name val="微软雅黑"/>
      <charset val="134"/>
    </font>
    <font>
      <b/>
      <sz val="11"/>
      <color theme="2" tint="-0.899990844447157"/>
      <name val="微软雅黑"/>
      <charset val="134"/>
    </font>
    <font>
      <sz val="10"/>
      <color rgb="FFFF0000"/>
      <name val="微软雅黑"/>
      <charset val="134"/>
    </font>
    <font>
      <b/>
      <sz val="10"/>
      <name val="微软雅黑"/>
      <charset val="134"/>
    </font>
    <font>
      <sz val="14"/>
      <color rgb="FF333333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rebuchet MS"/>
      <charset val="134"/>
    </font>
    <font>
      <sz val="11"/>
      <color theme="0"/>
      <name val="Trebuchet MS"/>
      <charset val="134"/>
    </font>
    <font>
      <sz val="11"/>
      <color rgb="FF000000"/>
      <name val="Calibri"/>
      <charset val="134"/>
    </font>
    <font>
      <sz val="11"/>
      <color rgb="FF006100"/>
      <name val="Trebuchet MS"/>
      <charset val="134"/>
    </font>
    <font>
      <sz val="11"/>
      <color rgb="FF9C0006"/>
      <name val="Trebuchet MS"/>
      <charset val="134"/>
    </font>
    <font>
      <sz val="12"/>
      <name val="Times New Roman"/>
      <charset val="134"/>
    </font>
    <font>
      <b/>
      <sz val="15"/>
      <color theme="3"/>
      <name val="Trebuchet MS"/>
      <charset val="134"/>
    </font>
    <font>
      <b/>
      <sz val="13"/>
      <color theme="3"/>
      <name val="Trebuchet MS"/>
      <charset val="134"/>
    </font>
    <font>
      <b/>
      <sz val="11"/>
      <color theme="3"/>
      <name val="Trebuchet MS"/>
      <charset val="134"/>
    </font>
    <font>
      <b/>
      <sz val="18"/>
      <color theme="3"/>
      <name val="宋体"/>
      <charset val="134"/>
      <scheme val="major"/>
    </font>
    <font>
      <b/>
      <sz val="11"/>
      <color theme="0"/>
      <name val="Trebuchet MS"/>
      <charset val="134"/>
    </font>
    <font>
      <b/>
      <sz val="11"/>
      <color theme="1"/>
      <name val="Trebuchet MS"/>
      <charset val="134"/>
    </font>
    <font>
      <i/>
      <sz val="11"/>
      <color rgb="FF7F7F7F"/>
      <name val="Trebuchet MS"/>
      <charset val="134"/>
    </font>
    <font>
      <sz val="11"/>
      <color rgb="FFFF0000"/>
      <name val="Trebuchet MS"/>
      <charset val="134"/>
    </font>
    <font>
      <b/>
      <sz val="11"/>
      <color rgb="FFFA7D00"/>
      <name val="Trebuchet MS"/>
      <charset val="134"/>
    </font>
    <font>
      <sz val="11"/>
      <color rgb="FF3F3F76"/>
      <name val="Trebuchet MS"/>
      <charset val="134"/>
    </font>
    <font>
      <b/>
      <sz val="11"/>
      <color rgb="FF3F3F3F"/>
      <name val="Trebuchet MS"/>
      <charset val="134"/>
    </font>
    <font>
      <sz val="11"/>
      <color rgb="FF9C6500"/>
      <name val="Trebuchet MS"/>
      <charset val="134"/>
    </font>
    <font>
      <sz val="11"/>
      <color rgb="FFFA7D00"/>
      <name val="Trebuchet MS"/>
      <charset val="134"/>
    </font>
  </fonts>
  <fills count="72">
    <fill>
      <patternFill patternType="none"/>
    </fill>
    <fill>
      <patternFill patternType="gray125"/>
    </fill>
    <fill>
      <patternFill patternType="solid">
        <fgColor theme="4" tint="0.39960936307870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639881588183"/>
        <bgColor indexed="64"/>
      </patternFill>
    </fill>
    <fill>
      <patternFill patternType="solid">
        <fgColor theme="5" tint="0.399639881588183"/>
        <bgColor indexed="64"/>
      </patternFill>
    </fill>
    <fill>
      <patternFill patternType="solid">
        <fgColor theme="6" tint="0.399639881588183"/>
        <bgColor indexed="64"/>
      </patternFill>
    </fill>
    <fill>
      <patternFill patternType="solid">
        <fgColor theme="7" tint="0.399639881588183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639881588183"/>
      </bottom>
      <diagonal/>
    </border>
  </borders>
  <cellStyleXfs count="101">
    <xf numFmtId="176" fontId="0" fillId="0" borderId="0"/>
    <xf numFmtId="43" fontId="56" fillId="0" borderId="0" applyFont="0" applyFill="0" applyBorder="0" applyAlignment="0" applyProtection="0">
      <alignment vertical="center"/>
    </xf>
    <xf numFmtId="44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2" fontId="56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12" borderId="34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3" fillId="0" borderId="35" applyNumberFormat="0" applyFill="0" applyAlignment="0" applyProtection="0">
      <alignment vertical="center"/>
    </xf>
    <xf numFmtId="0" fontId="64" fillId="0" borderId="3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13" borderId="37" applyNumberFormat="0" applyAlignment="0" applyProtection="0">
      <alignment vertical="center"/>
    </xf>
    <xf numFmtId="0" fontId="66" fillId="14" borderId="38" applyNumberFormat="0" applyAlignment="0" applyProtection="0">
      <alignment vertical="center"/>
    </xf>
    <xf numFmtId="0" fontId="67" fillId="14" borderId="37" applyNumberFormat="0" applyAlignment="0" applyProtection="0">
      <alignment vertical="center"/>
    </xf>
    <xf numFmtId="0" fontId="68" fillId="15" borderId="39" applyNumberFormat="0" applyAlignment="0" applyProtection="0">
      <alignment vertical="center"/>
    </xf>
    <xf numFmtId="0" fontId="69" fillId="0" borderId="40" applyNumberFormat="0" applyFill="0" applyAlignment="0" applyProtection="0">
      <alignment vertical="center"/>
    </xf>
    <xf numFmtId="0" fontId="70" fillId="0" borderId="41" applyNumberFormat="0" applyFill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6" fillId="43" borderId="0"/>
    <xf numFmtId="0" fontId="76" fillId="44" borderId="0"/>
    <xf numFmtId="0" fontId="76" fillId="45" borderId="0"/>
    <xf numFmtId="0" fontId="76" fillId="46" borderId="0"/>
    <xf numFmtId="0" fontId="76" fillId="4" borderId="0"/>
    <xf numFmtId="0" fontId="76" fillId="47" borderId="0"/>
    <xf numFmtId="0" fontId="76" fillId="48" borderId="0"/>
    <xf numFmtId="0" fontId="76" fillId="49" borderId="0"/>
    <xf numFmtId="0" fontId="76" fillId="50" borderId="0"/>
    <xf numFmtId="0" fontId="76" fillId="51" borderId="0"/>
    <xf numFmtId="0" fontId="76" fillId="52" borderId="0"/>
    <xf numFmtId="0" fontId="76" fillId="9" borderId="0"/>
    <xf numFmtId="0" fontId="77" fillId="53" borderId="0"/>
    <xf numFmtId="0" fontId="77" fillId="54" borderId="0"/>
    <xf numFmtId="0" fontId="77" fillId="55" borderId="0"/>
    <xf numFmtId="0" fontId="77" fillId="56" borderId="0"/>
    <xf numFmtId="0" fontId="77" fillId="57" borderId="0"/>
    <xf numFmtId="0" fontId="77" fillId="58" borderId="0"/>
    <xf numFmtId="176" fontId="16" fillId="0" borderId="0"/>
    <xf numFmtId="0" fontId="16" fillId="0" borderId="0"/>
    <xf numFmtId="0" fontId="16" fillId="0" borderId="0"/>
    <xf numFmtId="0" fontId="16" fillId="0" borderId="0"/>
    <xf numFmtId="0" fontId="76" fillId="0" borderId="0"/>
    <xf numFmtId="0" fontId="16" fillId="0" borderId="0"/>
    <xf numFmtId="0" fontId="78" fillId="0" borderId="0"/>
    <xf numFmtId="0" fontId="76" fillId="59" borderId="34"/>
    <xf numFmtId="0" fontId="79" fillId="60" borderId="0"/>
    <xf numFmtId="0" fontId="80" fillId="61" borderId="0"/>
    <xf numFmtId="0" fontId="1" fillId="0" borderId="0"/>
    <xf numFmtId="0" fontId="16" fillId="0" borderId="0"/>
    <xf numFmtId="176" fontId="16" fillId="0" borderId="0"/>
    <xf numFmtId="176" fontId="81" fillId="0" borderId="0"/>
    <xf numFmtId="0" fontId="82" fillId="0" borderId="42"/>
    <xf numFmtId="0" fontId="83" fillId="0" borderId="43"/>
    <xf numFmtId="0" fontId="84" fillId="0" borderId="44"/>
    <xf numFmtId="0" fontId="84" fillId="0" borderId="0"/>
    <xf numFmtId="0" fontId="85" fillId="0" borderId="0"/>
    <xf numFmtId="0" fontId="86" fillId="62" borderId="39"/>
    <xf numFmtId="0" fontId="87" fillId="0" borderId="41"/>
    <xf numFmtId="0" fontId="77" fillId="63" borderId="0"/>
    <xf numFmtId="0" fontId="77" fillId="64" borderId="0"/>
    <xf numFmtId="0" fontId="77" fillId="65" borderId="0"/>
    <xf numFmtId="0" fontId="77" fillId="66" borderId="0"/>
    <xf numFmtId="0" fontId="77" fillId="67" borderId="0"/>
    <xf numFmtId="0" fontId="77" fillId="68" borderId="0"/>
    <xf numFmtId="0" fontId="88" fillId="0" borderId="0"/>
    <xf numFmtId="0" fontId="89" fillId="0" borderId="0"/>
    <xf numFmtId="0" fontId="90" fillId="69" borderId="37"/>
    <xf numFmtId="0" fontId="91" fillId="70" borderId="37"/>
    <xf numFmtId="0" fontId="92" fillId="69" borderId="38"/>
    <xf numFmtId="0" fontId="93" fillId="71" borderId="0"/>
    <xf numFmtId="0" fontId="94" fillId="0" borderId="40"/>
  </cellStyleXfs>
  <cellXfs count="404">
    <xf numFmtId="176" fontId="0" fillId="0" borderId="0" xfId="0"/>
    <xf numFmtId="0" fontId="1" fillId="0" borderId="0" xfId="77"/>
    <xf numFmtId="176" fontId="2" fillId="0" borderId="0" xfId="0" applyFont="1" applyAlignment="1">
      <alignment wrapText="1"/>
    </xf>
    <xf numFmtId="176" fontId="2" fillId="0" borderId="0" xfId="0" applyFont="1" applyAlignment="1">
      <alignment horizontal="center" wrapText="1"/>
    </xf>
    <xf numFmtId="176" fontId="3" fillId="2" borderId="1" xfId="0" applyFont="1" applyFill="1" applyBorder="1" applyAlignment="1">
      <alignment wrapText="1"/>
    </xf>
    <xf numFmtId="176" fontId="3" fillId="2" borderId="2" xfId="0" applyFont="1" applyFill="1" applyBorder="1" applyAlignment="1">
      <alignment wrapText="1"/>
    </xf>
    <xf numFmtId="176" fontId="3" fillId="2" borderId="2" xfId="0" applyFont="1" applyFill="1" applyBorder="1" applyAlignment="1">
      <alignment horizontal="center" wrapText="1"/>
    </xf>
    <xf numFmtId="176" fontId="3" fillId="2" borderId="3" xfId="0" applyFont="1" applyFill="1" applyBorder="1" applyAlignment="1">
      <alignment horizontal="center" wrapText="1"/>
    </xf>
    <xf numFmtId="176" fontId="4" fillId="3" borderId="4" xfId="0" applyFont="1" applyFill="1" applyBorder="1" applyAlignment="1">
      <alignment horizontal="center" wrapText="1"/>
    </xf>
    <xf numFmtId="0" fontId="0" fillId="0" borderId="5" xfId="0" applyNumberFormat="1" applyBorder="1"/>
    <xf numFmtId="176" fontId="4" fillId="3" borderId="6" xfId="0" applyFont="1" applyFill="1" applyBorder="1" applyAlignment="1">
      <alignment wrapText="1"/>
    </xf>
    <xf numFmtId="49" fontId="5" fillId="4" borderId="7" xfId="0" applyNumberFormat="1" applyFont="1" applyFill="1" applyBorder="1" applyAlignment="1">
      <alignment vertical="center" wrapText="1"/>
    </xf>
    <xf numFmtId="176" fontId="6" fillId="4" borderId="8" xfId="0" applyFont="1" applyFill="1" applyBorder="1" applyAlignment="1">
      <alignment vertical="center" wrapText="1"/>
    </xf>
    <xf numFmtId="0" fontId="0" fillId="0" borderId="9" xfId="0" applyNumberFormat="1" applyBorder="1"/>
    <xf numFmtId="0" fontId="0" fillId="0" borderId="10" xfId="0" applyNumberFormat="1" applyBorder="1"/>
    <xf numFmtId="176" fontId="5" fillId="4" borderId="11" xfId="0" applyFont="1" applyFill="1" applyBorder="1" applyAlignment="1">
      <alignment horizontal="center" vertical="center" wrapText="1"/>
    </xf>
    <xf numFmtId="49" fontId="7" fillId="0" borderId="12" xfId="0" applyNumberFormat="1" applyFont="1" applyBorder="1" applyAlignment="1">
      <alignment vertical="center" wrapText="1"/>
    </xf>
    <xf numFmtId="176" fontId="8" fillId="0" borderId="13" xfId="0" applyFont="1" applyBorder="1" applyAlignment="1">
      <alignment vertical="center" wrapText="1"/>
    </xf>
    <xf numFmtId="176" fontId="7" fillId="5" borderId="13" xfId="0" applyFont="1" applyFill="1" applyBorder="1" applyAlignment="1">
      <alignment vertical="center" wrapText="1"/>
    </xf>
    <xf numFmtId="176" fontId="7" fillId="0" borderId="13" xfId="0" applyFont="1" applyBorder="1" applyAlignment="1">
      <alignment horizontal="center" vertical="center" wrapText="1"/>
    </xf>
    <xf numFmtId="176" fontId="7" fillId="0" borderId="14" xfId="0" applyFont="1" applyBorder="1" applyAlignment="1">
      <alignment horizontal="center" vertical="center" wrapText="1"/>
    </xf>
    <xf numFmtId="176" fontId="3" fillId="6" borderId="13" xfId="0" applyFont="1" applyFill="1" applyBorder="1" applyAlignment="1">
      <alignment horizontal="center" vertical="center" wrapText="1"/>
    </xf>
    <xf numFmtId="0" fontId="0" fillId="0" borderId="15" xfId="0" applyNumberFormat="1" applyBorder="1"/>
    <xf numFmtId="0" fontId="0" fillId="0" borderId="16" xfId="0" applyNumberFormat="1" applyBorder="1"/>
    <xf numFmtId="49" fontId="5" fillId="4" borderId="12" xfId="0" applyNumberFormat="1" applyFont="1" applyFill="1" applyBorder="1" applyAlignment="1">
      <alignment vertical="center" wrapText="1"/>
    </xf>
    <xf numFmtId="176" fontId="6" fillId="4" borderId="13" xfId="0" applyFont="1" applyFill="1" applyBorder="1" applyAlignment="1">
      <alignment vertical="center" wrapText="1"/>
    </xf>
    <xf numFmtId="176" fontId="5" fillId="4" borderId="14" xfId="0" applyFont="1" applyFill="1" applyBorder="1" applyAlignment="1">
      <alignment horizontal="center" vertical="center" wrapText="1"/>
    </xf>
    <xf numFmtId="0" fontId="0" fillId="0" borderId="17" xfId="0" applyNumberFormat="1" applyBorder="1"/>
    <xf numFmtId="176" fontId="3" fillId="6" borderId="13" xfId="0" applyFont="1" applyFill="1" applyBorder="1" applyAlignment="1">
      <alignment horizontal="right" vertical="center" wrapText="1"/>
    </xf>
    <xf numFmtId="176" fontId="7" fillId="0" borderId="14" xfId="0" applyFont="1" applyBorder="1" applyAlignment="1">
      <alignment horizontal="center" wrapText="1"/>
    </xf>
    <xf numFmtId="176" fontId="7" fillId="0" borderId="14" xfId="0" applyFont="1" applyBorder="1" applyAlignment="1">
      <alignment horizontal="left" vertical="center" wrapText="1"/>
    </xf>
    <xf numFmtId="176" fontId="7" fillId="0" borderId="13" xfId="0" applyFont="1" applyBorder="1" applyAlignment="1">
      <alignment horizontal="center" vertical="center"/>
    </xf>
    <xf numFmtId="177" fontId="9" fillId="0" borderId="13" xfId="0" applyNumberFormat="1" applyFont="1" applyBorder="1" applyAlignment="1">
      <alignment wrapText="1"/>
    </xf>
    <xf numFmtId="49" fontId="10" fillId="0" borderId="12" xfId="0" applyNumberFormat="1" applyFont="1" applyBorder="1" applyAlignment="1">
      <alignment vertical="center" wrapText="1"/>
    </xf>
    <xf numFmtId="176" fontId="3" fillId="7" borderId="18" xfId="0" applyFont="1" applyFill="1" applyBorder="1" applyAlignment="1">
      <alignment horizontal="right" vertical="center" wrapText="1"/>
    </xf>
    <xf numFmtId="176" fontId="10" fillId="0" borderId="19" xfId="0" applyFont="1" applyBorder="1" applyAlignment="1">
      <alignment horizontal="center" wrapText="1"/>
    </xf>
    <xf numFmtId="176" fontId="2" fillId="0" borderId="13" xfId="0" applyFont="1" applyBorder="1" applyAlignment="1">
      <alignment vertical="center" wrapText="1"/>
    </xf>
    <xf numFmtId="49" fontId="7" fillId="8" borderId="12" xfId="0" applyNumberFormat="1" applyFont="1" applyFill="1" applyBorder="1" applyAlignment="1">
      <alignment vertical="center" wrapText="1"/>
    </xf>
    <xf numFmtId="176" fontId="8" fillId="8" borderId="13" xfId="0" applyFont="1" applyFill="1" applyBorder="1" applyAlignment="1">
      <alignment vertical="center" wrapText="1"/>
    </xf>
    <xf numFmtId="176" fontId="7" fillId="8" borderId="13" xfId="0" applyFont="1" applyFill="1" applyBorder="1" applyAlignment="1">
      <alignment vertical="center" wrapText="1"/>
    </xf>
    <xf numFmtId="176" fontId="7" fillId="8" borderId="13" xfId="0" applyFont="1" applyFill="1" applyBorder="1" applyAlignment="1">
      <alignment horizontal="center" vertical="center" wrapText="1"/>
    </xf>
    <xf numFmtId="176" fontId="7" fillId="8" borderId="14" xfId="0" applyFont="1" applyFill="1" applyBorder="1" applyAlignment="1">
      <alignment horizontal="center" vertical="center" wrapText="1"/>
    </xf>
    <xf numFmtId="176" fontId="8" fillId="8" borderId="13" xfId="0" applyFont="1" applyFill="1" applyBorder="1" applyAlignment="1">
      <alignment horizontal="center" vertical="center" wrapText="1"/>
    </xf>
    <xf numFmtId="176" fontId="7" fillId="8" borderId="14" xfId="0" applyFont="1" applyFill="1" applyBorder="1" applyAlignment="1">
      <alignment horizontal="center" wrapText="1"/>
    </xf>
    <xf numFmtId="176" fontId="7" fillId="0" borderId="12" xfId="0" applyFont="1" applyBorder="1" applyAlignment="1">
      <alignment vertical="center" wrapText="1"/>
    </xf>
    <xf numFmtId="176" fontId="11" fillId="6" borderId="13" xfId="0" applyFont="1" applyFill="1" applyBorder="1" applyAlignment="1">
      <alignment horizontal="center" vertical="center" wrapText="1"/>
    </xf>
    <xf numFmtId="176" fontId="7" fillId="0" borderId="20" xfId="0" applyFont="1" applyBorder="1" applyAlignment="1">
      <alignment vertical="center" wrapText="1"/>
    </xf>
    <xf numFmtId="176" fontId="6" fillId="6" borderId="21" xfId="0" applyFont="1" applyFill="1" applyBorder="1" applyAlignment="1">
      <alignment horizontal="center" wrapText="1"/>
    </xf>
    <xf numFmtId="0" fontId="0" fillId="0" borderId="22" xfId="0" applyNumberFormat="1" applyBorder="1"/>
    <xf numFmtId="0" fontId="0" fillId="0" borderId="23" xfId="0" applyNumberFormat="1" applyBorder="1"/>
    <xf numFmtId="176" fontId="7" fillId="0" borderId="24" xfId="0" applyFont="1" applyBorder="1" applyAlignment="1">
      <alignment horizontal="center" wrapText="1"/>
    </xf>
    <xf numFmtId="49" fontId="7" fillId="9" borderId="12" xfId="0" applyNumberFormat="1" applyFont="1" applyFill="1" applyBorder="1" applyAlignment="1">
      <alignment vertical="center" wrapText="1"/>
    </xf>
    <xf numFmtId="176" fontId="8" fillId="9" borderId="13" xfId="0" applyFont="1" applyFill="1" applyBorder="1" applyAlignment="1">
      <alignment vertical="center" wrapText="1"/>
    </xf>
    <xf numFmtId="176" fontId="7" fillId="9" borderId="13" xfId="0" applyFont="1" applyFill="1" applyBorder="1" applyAlignment="1">
      <alignment vertical="center" wrapText="1"/>
    </xf>
    <xf numFmtId="176" fontId="7" fillId="9" borderId="13" xfId="0" applyFont="1" applyFill="1" applyBorder="1" applyAlignment="1">
      <alignment horizontal="center" vertical="center"/>
    </xf>
    <xf numFmtId="176" fontId="7" fillId="9" borderId="14" xfId="0" applyFont="1" applyFill="1" applyBorder="1" applyAlignment="1">
      <alignment horizontal="center" vertical="center" wrapText="1"/>
    </xf>
    <xf numFmtId="176" fontId="7" fillId="9" borderId="25" xfId="0" applyFont="1" applyFill="1" applyBorder="1" applyAlignment="1">
      <alignment horizontal="center" vertical="center" wrapText="1"/>
    </xf>
    <xf numFmtId="177" fontId="12" fillId="9" borderId="13" xfId="0" applyNumberFormat="1" applyFont="1" applyFill="1" applyBorder="1" applyAlignment="1">
      <alignment wrapText="1"/>
    </xf>
    <xf numFmtId="0" fontId="0" fillId="0" borderId="26" xfId="0" applyNumberFormat="1" applyBorder="1"/>
    <xf numFmtId="0" fontId="0" fillId="0" borderId="27" xfId="0" applyNumberFormat="1" applyBorder="1"/>
    <xf numFmtId="176" fontId="2" fillId="9" borderId="25" xfId="0" applyFont="1" applyFill="1" applyBorder="1" applyAlignment="1">
      <alignment horizontal="center" vertical="center" wrapText="1"/>
    </xf>
    <xf numFmtId="177" fontId="12" fillId="0" borderId="13" xfId="0" applyNumberFormat="1" applyFont="1" applyBorder="1" applyAlignment="1">
      <alignment wrapText="1"/>
    </xf>
    <xf numFmtId="0" fontId="2" fillId="0" borderId="0" xfId="77" applyFont="1"/>
    <xf numFmtId="176" fontId="13" fillId="0" borderId="0" xfId="0" applyFont="1"/>
    <xf numFmtId="176" fontId="14" fillId="0" borderId="0" xfId="0" applyFont="1" applyAlignment="1">
      <alignment horizontal="center" vertical="center" wrapText="1"/>
    </xf>
    <xf numFmtId="176" fontId="14" fillId="0" borderId="0" xfId="0" applyFont="1" applyAlignment="1">
      <alignment horizontal="left" vertical="center" wrapText="1"/>
    </xf>
    <xf numFmtId="0" fontId="14" fillId="0" borderId="0" xfId="0" applyNumberFormat="1" applyFont="1" applyAlignment="1">
      <alignment horizontal="center" vertical="center" wrapText="1"/>
    </xf>
    <xf numFmtId="38" fontId="14" fillId="0" borderId="0" xfId="0" applyNumberFormat="1" applyFont="1" applyAlignment="1">
      <alignment horizontal="center" vertical="center" wrapText="1"/>
    </xf>
    <xf numFmtId="176" fontId="14" fillId="0" borderId="0" xfId="0" applyFont="1"/>
    <xf numFmtId="176" fontId="15" fillId="8" borderId="13" xfId="0" applyFont="1" applyFill="1" applyBorder="1" applyAlignment="1">
      <alignment horizontal="center" vertical="center" wrapText="1"/>
    </xf>
    <xf numFmtId="176" fontId="15" fillId="10" borderId="13" xfId="0" applyFont="1" applyFill="1" applyBorder="1" applyAlignment="1">
      <alignment horizontal="center" vertical="center" wrapText="1"/>
    </xf>
    <xf numFmtId="0" fontId="15" fillId="8" borderId="13" xfId="0" applyNumberFormat="1" applyFont="1" applyFill="1" applyBorder="1" applyAlignment="1">
      <alignment horizontal="center" vertical="center" wrapText="1"/>
    </xf>
    <xf numFmtId="176" fontId="0" fillId="0" borderId="13" xfId="0" applyBorder="1" applyAlignment="1">
      <alignment horizontal="center" vertical="center" wrapText="1"/>
    </xf>
    <xf numFmtId="176" fontId="0" fillId="0" borderId="13" xfId="0" applyBorder="1" applyAlignment="1">
      <alignment horizontal="left" vertical="center" wrapText="1"/>
    </xf>
    <xf numFmtId="0" fontId="0" fillId="0" borderId="13" xfId="0" applyNumberFormat="1" applyBorder="1" applyAlignment="1">
      <alignment horizontal="center" vertical="center" wrapText="1"/>
    </xf>
    <xf numFmtId="178" fontId="0" fillId="0" borderId="13" xfId="0" applyNumberFormat="1" applyBorder="1" applyAlignment="1">
      <alignment horizontal="center" vertical="center" wrapText="1"/>
    </xf>
    <xf numFmtId="176" fontId="16" fillId="0" borderId="13" xfId="0" applyFont="1" applyBorder="1" applyAlignment="1">
      <alignment horizontal="left" vertical="center" wrapText="1"/>
    </xf>
    <xf numFmtId="0" fontId="17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wrapText="1"/>
    </xf>
    <xf numFmtId="176" fontId="18" fillId="10" borderId="13" xfId="0" applyFont="1" applyFill="1" applyBorder="1" applyAlignment="1">
      <alignment horizontal="center" vertical="center" wrapText="1"/>
    </xf>
    <xf numFmtId="0" fontId="18" fillId="10" borderId="13" xfId="0" applyNumberFormat="1" applyFont="1" applyFill="1" applyBorder="1" applyAlignment="1">
      <alignment horizontal="center" vertical="center" wrapText="1"/>
    </xf>
    <xf numFmtId="0" fontId="19" fillId="0" borderId="13" xfId="0" applyNumberFormat="1" applyFont="1" applyBorder="1" applyAlignment="1">
      <alignment horizontal="center" vertical="center" wrapText="1"/>
    </xf>
    <xf numFmtId="0" fontId="19" fillId="0" borderId="13" xfId="0" applyNumberFormat="1" applyFont="1" applyBorder="1" applyAlignment="1">
      <alignment horizontal="left" vertical="center" wrapText="1"/>
    </xf>
    <xf numFmtId="179" fontId="0" fillId="0" borderId="13" xfId="0" applyNumberFormat="1" applyBorder="1" applyAlignment="1">
      <alignment horizontal="center" vertical="center" wrapText="1"/>
    </xf>
    <xf numFmtId="0" fontId="20" fillId="0" borderId="13" xfId="0" applyNumberFormat="1" applyFont="1" applyBorder="1" applyAlignment="1">
      <alignment horizontal="center" vertical="center" wrapText="1"/>
    </xf>
    <xf numFmtId="176" fontId="0" fillId="0" borderId="16" xfId="0" applyBorder="1" applyAlignment="1">
      <alignment horizontal="center" vertical="center"/>
    </xf>
    <xf numFmtId="176" fontId="20" fillId="5" borderId="13" xfId="0" applyFont="1" applyFill="1" applyBorder="1" applyAlignment="1">
      <alignment horizontal="left" vertical="center" wrapText="1"/>
    </xf>
    <xf numFmtId="0" fontId="16" fillId="0" borderId="13" xfId="0" applyNumberFormat="1" applyFont="1" applyBorder="1" applyAlignment="1">
      <alignment horizontal="center" vertical="center" wrapText="1"/>
    </xf>
    <xf numFmtId="180" fontId="14" fillId="0" borderId="0" xfId="0" applyNumberFormat="1" applyFont="1" applyAlignment="1">
      <alignment horizontal="center" vertical="center" wrapText="1"/>
    </xf>
    <xf numFmtId="176" fontId="21" fillId="8" borderId="13" xfId="0" applyFont="1" applyFill="1" applyBorder="1" applyAlignment="1">
      <alignment horizontal="center" vertical="center" wrapText="1"/>
    </xf>
    <xf numFmtId="176" fontId="21" fillId="10" borderId="13" xfId="0" applyFont="1" applyFill="1" applyBorder="1" applyAlignment="1">
      <alignment horizontal="center" vertical="center" wrapText="1"/>
    </xf>
    <xf numFmtId="181" fontId="15" fillId="10" borderId="13" xfId="0" applyNumberFormat="1" applyFont="1" applyFill="1" applyBorder="1" applyAlignment="1">
      <alignment horizontal="center" vertical="center" wrapText="1"/>
    </xf>
    <xf numFmtId="49" fontId="22" fillId="0" borderId="13" xfId="0" applyNumberFormat="1" applyFont="1" applyBorder="1" applyAlignment="1">
      <alignment horizontal="center" vertical="center" wrapText="1"/>
    </xf>
    <xf numFmtId="176" fontId="23" fillId="0" borderId="13" xfId="0" applyFont="1" applyBorder="1" applyAlignment="1">
      <alignment horizontal="center" vertical="center" wrapText="1"/>
    </xf>
    <xf numFmtId="176" fontId="0" fillId="0" borderId="13" xfId="0" applyBorder="1"/>
    <xf numFmtId="0" fontId="24" fillId="0" borderId="13" xfId="0" applyNumberFormat="1" applyFont="1" applyBorder="1" applyAlignment="1">
      <alignment horizontal="center" vertical="center" wrapText="1"/>
    </xf>
    <xf numFmtId="176" fontId="14" fillId="0" borderId="0" xfId="0" applyFont="1" applyAlignment="1">
      <alignment horizontal="left" vertical="top" wrapText="1"/>
    </xf>
    <xf numFmtId="176" fontId="24" fillId="0" borderId="0" xfId="0" applyFont="1" applyAlignment="1">
      <alignment horizontal="center" vertical="center"/>
    </xf>
    <xf numFmtId="176" fontId="16" fillId="0" borderId="13" xfId="0" applyFont="1" applyBorder="1" applyAlignment="1">
      <alignment horizontal="center" vertical="center" wrapText="1"/>
    </xf>
    <xf numFmtId="176" fontId="24" fillId="0" borderId="13" xfId="0" applyFont="1" applyBorder="1" applyAlignment="1">
      <alignment horizontal="center" vertical="center"/>
    </xf>
    <xf numFmtId="176" fontId="16" fillId="5" borderId="13" xfId="0" applyFont="1" applyFill="1" applyBorder="1" applyAlignment="1">
      <alignment horizontal="center" vertical="center" wrapText="1"/>
    </xf>
    <xf numFmtId="176" fontId="0" fillId="5" borderId="13" xfId="0" applyFill="1" applyBorder="1" applyAlignment="1">
      <alignment horizontal="center" vertical="center" wrapText="1"/>
    </xf>
    <xf numFmtId="0" fontId="0" fillId="0" borderId="13" xfId="0" applyNumberFormat="1" applyBorder="1"/>
    <xf numFmtId="176" fontId="14" fillId="0" borderId="13" xfId="0" applyFont="1" applyBorder="1" applyAlignment="1">
      <alignment horizontal="center" vertical="center" wrapText="1"/>
    </xf>
    <xf numFmtId="176" fontId="25" fillId="0" borderId="0" xfId="0" applyFont="1" applyAlignment="1">
      <alignment horizontal="center" vertical="center"/>
    </xf>
    <xf numFmtId="176" fontId="26" fillId="0" borderId="0" xfId="0" applyFont="1" applyAlignment="1">
      <alignment horizontal="center" vertical="center" wrapText="1"/>
    </xf>
    <xf numFmtId="176" fontId="26" fillId="0" borderId="0" xfId="0" applyFont="1" applyAlignment="1">
      <alignment horizontal="left" vertical="center" wrapText="1"/>
    </xf>
    <xf numFmtId="176" fontId="13" fillId="0" borderId="0" xfId="0" applyFont="1" applyAlignment="1">
      <alignment vertical="center"/>
    </xf>
    <xf numFmtId="176" fontId="22" fillId="0" borderId="13" xfId="0" applyFont="1" applyBorder="1" applyAlignment="1">
      <alignment horizontal="center" vertical="center" wrapText="1"/>
    </xf>
    <xf numFmtId="176" fontId="0" fillId="0" borderId="13" xfId="0" applyBorder="1" applyAlignment="1">
      <alignment horizontal="center" vertical="center"/>
    </xf>
    <xf numFmtId="0" fontId="0" fillId="5" borderId="13" xfId="0" applyNumberFormat="1" applyFill="1" applyBorder="1" applyAlignment="1">
      <alignment horizontal="center" vertical="center" wrapText="1"/>
    </xf>
    <xf numFmtId="182" fontId="0" fillId="0" borderId="13" xfId="0" applyNumberFormat="1" applyBorder="1" applyAlignment="1">
      <alignment horizontal="center" vertical="center" wrapText="1"/>
    </xf>
    <xf numFmtId="176" fontId="24" fillId="0" borderId="13" xfId="0" applyFont="1" applyBorder="1" applyAlignment="1">
      <alignment vertical="center"/>
    </xf>
    <xf numFmtId="176" fontId="24" fillId="0" borderId="13" xfId="0" applyFont="1" applyBorder="1" applyAlignment="1">
      <alignment horizontal="center" vertical="center" wrapText="1"/>
    </xf>
    <xf numFmtId="176" fontId="13" fillId="0" borderId="13" xfId="0" applyFont="1" applyBorder="1" applyAlignment="1">
      <alignment vertical="center"/>
    </xf>
    <xf numFmtId="176" fontId="0" fillId="5" borderId="13" xfId="0" applyFill="1" applyBorder="1" applyAlignment="1">
      <alignment horizontal="left" vertical="center" wrapText="1"/>
    </xf>
    <xf numFmtId="176" fontId="22" fillId="5" borderId="13" xfId="0" applyFont="1" applyFill="1" applyBorder="1" applyAlignment="1">
      <alignment horizontal="center" vertical="center"/>
    </xf>
    <xf numFmtId="176" fontId="0" fillId="5" borderId="13" xfId="0" applyFill="1" applyBorder="1" applyAlignment="1">
      <alignment horizontal="center" vertical="center"/>
    </xf>
    <xf numFmtId="182" fontId="0" fillId="5" borderId="13" xfId="0" applyNumberFormat="1" applyFill="1" applyBorder="1" applyAlignment="1">
      <alignment horizontal="center" vertical="center" wrapText="1"/>
    </xf>
    <xf numFmtId="176" fontId="27" fillId="0" borderId="13" xfId="0" applyFont="1" applyBorder="1" applyAlignment="1">
      <alignment horizontal="center" vertical="center" wrapText="1"/>
    </xf>
    <xf numFmtId="176" fontId="0" fillId="0" borderId="0" xfId="0" applyAlignment="1">
      <alignment horizontal="center"/>
    </xf>
    <xf numFmtId="176" fontId="22" fillId="0" borderId="13" xfId="0" applyFont="1" applyBorder="1" applyAlignment="1">
      <alignment horizontal="center" vertical="center"/>
    </xf>
    <xf numFmtId="176" fontId="26" fillId="0" borderId="13" xfId="0" applyFont="1" applyBorder="1" applyAlignment="1">
      <alignment vertical="center"/>
    </xf>
    <xf numFmtId="176" fontId="19" fillId="5" borderId="13" xfId="0" applyFont="1" applyFill="1" applyBorder="1" applyAlignment="1">
      <alignment horizontal="center" vertical="center" wrapText="1"/>
    </xf>
    <xf numFmtId="176" fontId="20" fillId="5" borderId="13" xfId="0" applyFont="1" applyFill="1" applyBorder="1" applyAlignment="1">
      <alignment horizontal="center" vertical="center" wrapText="1"/>
    </xf>
    <xf numFmtId="176" fontId="14" fillId="0" borderId="0" xfId="0" applyFont="1" applyAlignment="1">
      <alignment vertical="center" wrapText="1"/>
    </xf>
    <xf numFmtId="0" fontId="15" fillId="10" borderId="13" xfId="0" applyNumberFormat="1" applyFont="1" applyFill="1" applyBorder="1" applyAlignment="1">
      <alignment horizontal="center" vertical="center" wrapText="1"/>
    </xf>
    <xf numFmtId="0" fontId="22" fillId="0" borderId="13" xfId="67" applyNumberFormat="1" applyFont="1" applyBorder="1" applyAlignment="1">
      <alignment horizontal="center" vertical="center"/>
    </xf>
    <xf numFmtId="0" fontId="19" fillId="0" borderId="13" xfId="67" applyNumberFormat="1" applyFont="1" applyBorder="1" applyAlignment="1">
      <alignment horizontal="left" vertical="center" wrapText="1"/>
    </xf>
    <xf numFmtId="176" fontId="22" fillId="0" borderId="13" xfId="67" applyFont="1" applyBorder="1" applyAlignment="1">
      <alignment horizontal="center" vertical="center"/>
    </xf>
    <xf numFmtId="0" fontId="24" fillId="0" borderId="13" xfId="67" applyNumberFormat="1" applyFont="1" applyBorder="1" applyAlignment="1">
      <alignment horizontal="center" vertical="center"/>
    </xf>
    <xf numFmtId="176" fontId="16" fillId="0" borderId="0" xfId="0" applyFont="1" applyAlignment="1">
      <alignment horizontal="center" vertical="center" wrapText="1"/>
    </xf>
    <xf numFmtId="176" fontId="16" fillId="0" borderId="0" xfId="0" applyFont="1" applyAlignment="1">
      <alignment horizontal="left" vertical="center" wrapText="1"/>
    </xf>
    <xf numFmtId="183" fontId="14" fillId="0" borderId="0" xfId="0" applyNumberFormat="1" applyFont="1" applyAlignment="1">
      <alignment horizontal="center" vertical="center" wrapText="1"/>
    </xf>
    <xf numFmtId="183" fontId="21" fillId="10" borderId="13" xfId="0" applyNumberFormat="1" applyFont="1" applyFill="1" applyBorder="1" applyAlignment="1">
      <alignment horizontal="center" vertical="center" wrapText="1"/>
    </xf>
    <xf numFmtId="183" fontId="22" fillId="0" borderId="13" xfId="68" applyNumberFormat="1" applyFont="1" applyBorder="1" applyAlignment="1">
      <alignment horizontal="center" vertical="center"/>
    </xf>
    <xf numFmtId="176" fontId="27" fillId="5" borderId="13" xfId="0" applyFont="1" applyFill="1" applyBorder="1" applyAlignment="1">
      <alignment horizontal="center" vertical="center" wrapText="1"/>
    </xf>
    <xf numFmtId="180" fontId="0" fillId="0" borderId="0" xfId="0" applyNumberFormat="1"/>
    <xf numFmtId="176" fontId="16" fillId="5" borderId="13" xfId="79" applyFont="1" applyFill="1" applyBorder="1" applyAlignment="1">
      <alignment horizontal="center" vertical="center" wrapText="1"/>
    </xf>
    <xf numFmtId="176" fontId="16" fillId="5" borderId="13" xfId="79" applyFont="1" applyFill="1" applyBorder="1" applyAlignment="1">
      <alignment horizontal="left" vertical="center" wrapText="1"/>
    </xf>
    <xf numFmtId="0" fontId="16" fillId="0" borderId="13" xfId="79" applyNumberFormat="1" applyFont="1" applyBorder="1" applyAlignment="1">
      <alignment horizontal="center" vertical="center" wrapText="1"/>
    </xf>
    <xf numFmtId="176" fontId="16" fillId="0" borderId="13" xfId="79" applyFont="1" applyBorder="1" applyAlignment="1">
      <alignment horizontal="center" vertical="center" wrapText="1"/>
    </xf>
    <xf numFmtId="184" fontId="0" fillId="0" borderId="13" xfId="0" applyNumberFormat="1" applyBorder="1" applyAlignment="1">
      <alignment horizontal="center" vertical="center" wrapText="1"/>
    </xf>
    <xf numFmtId="184" fontId="0" fillId="0" borderId="13" xfId="0" applyNumberFormat="1" applyBorder="1"/>
    <xf numFmtId="184" fontId="24" fillId="0" borderId="13" xfId="0" applyNumberFormat="1" applyFont="1" applyBorder="1" applyAlignment="1">
      <alignment horizontal="center" vertical="center" wrapText="1"/>
    </xf>
    <xf numFmtId="176" fontId="24" fillId="0" borderId="13" xfId="68" applyNumberFormat="1" applyFont="1" applyBorder="1" applyAlignment="1">
      <alignment horizontal="center" vertical="center"/>
    </xf>
    <xf numFmtId="176" fontId="22" fillId="0" borderId="13" xfId="68" applyNumberFormat="1" applyFont="1" applyBorder="1" applyAlignment="1">
      <alignment horizontal="center" vertical="center"/>
    </xf>
    <xf numFmtId="176" fontId="16" fillId="5" borderId="13" xfId="0" applyFont="1" applyFill="1" applyBorder="1" applyAlignment="1">
      <alignment horizontal="left" vertical="center" wrapText="1"/>
    </xf>
    <xf numFmtId="176" fontId="24" fillId="0" borderId="13" xfId="0" applyFont="1" applyBorder="1" applyAlignment="1">
      <alignment wrapText="1"/>
    </xf>
    <xf numFmtId="0" fontId="24" fillId="5" borderId="13" xfId="68" applyFont="1" applyFill="1" applyBorder="1" applyAlignment="1">
      <alignment horizontal="center" vertical="center"/>
    </xf>
    <xf numFmtId="0" fontId="28" fillId="0" borderId="28" xfId="0" applyNumberFormat="1" applyFont="1" applyBorder="1" applyAlignment="1">
      <alignment horizontal="center" vertical="center" wrapText="1"/>
    </xf>
    <xf numFmtId="0" fontId="24" fillId="5" borderId="13" xfId="67" applyNumberFormat="1" applyFont="1" applyFill="1" applyBorder="1" applyAlignment="1">
      <alignment horizontal="center" vertical="center"/>
    </xf>
    <xf numFmtId="176" fontId="29" fillId="0" borderId="13" xfId="0" applyFont="1" applyBorder="1" applyAlignment="1">
      <alignment horizontal="center" vertical="center" wrapText="1"/>
    </xf>
    <xf numFmtId="176" fontId="0" fillId="5" borderId="29" xfId="0" applyFill="1" applyBorder="1" applyAlignment="1">
      <alignment horizontal="center" vertical="center" wrapText="1"/>
    </xf>
    <xf numFmtId="0" fontId="28" fillId="0" borderId="30" xfId="0" applyNumberFormat="1" applyFont="1" applyBorder="1" applyAlignment="1">
      <alignment horizontal="center" vertical="center" wrapText="1"/>
    </xf>
    <xf numFmtId="0" fontId="28" fillId="0" borderId="13" xfId="0" applyNumberFormat="1" applyFont="1" applyBorder="1" applyAlignment="1">
      <alignment horizontal="center" vertical="center" wrapText="1"/>
    </xf>
    <xf numFmtId="176" fontId="0" fillId="5" borderId="31" xfId="0" applyFill="1" applyBorder="1" applyAlignment="1">
      <alignment horizontal="center" vertical="center" wrapText="1"/>
    </xf>
    <xf numFmtId="0" fontId="28" fillId="0" borderId="32" xfId="0" applyNumberFormat="1" applyFont="1" applyBorder="1" applyAlignment="1">
      <alignment horizontal="center" vertical="center" wrapText="1"/>
    </xf>
    <xf numFmtId="176" fontId="13" fillId="0" borderId="13" xfId="0" applyFont="1" applyBorder="1"/>
    <xf numFmtId="176" fontId="30" fillId="5" borderId="13" xfId="0" applyFont="1" applyFill="1" applyBorder="1" applyAlignment="1">
      <alignment horizontal="left" vertical="center" wrapText="1"/>
    </xf>
    <xf numFmtId="0" fontId="22" fillId="5" borderId="13" xfId="67" applyNumberFormat="1" applyFont="1" applyFill="1" applyBorder="1" applyAlignment="1">
      <alignment horizontal="center" vertical="center"/>
    </xf>
    <xf numFmtId="0" fontId="16" fillId="0" borderId="13" xfId="67" applyNumberFormat="1" applyFont="1" applyBorder="1" applyAlignment="1">
      <alignment vertical="center"/>
    </xf>
    <xf numFmtId="176" fontId="24" fillId="5" borderId="13" xfId="0" applyFont="1" applyFill="1" applyBorder="1" applyAlignment="1">
      <alignment horizontal="center" vertical="center" wrapText="1"/>
    </xf>
    <xf numFmtId="176" fontId="16" fillId="0" borderId="13" xfId="0" applyFont="1" applyFill="1" applyBorder="1" applyAlignment="1">
      <alignment horizontal="center" vertical="center" wrapText="1"/>
    </xf>
    <xf numFmtId="176" fontId="0" fillId="0" borderId="13" xfId="0" applyFill="1" applyBorder="1" applyAlignment="1">
      <alignment horizontal="center" vertical="center" wrapText="1"/>
    </xf>
    <xf numFmtId="0" fontId="22" fillId="0" borderId="13" xfId="68" applyFont="1" applyFill="1" applyBorder="1" applyAlignment="1">
      <alignment horizontal="center" vertical="center"/>
    </xf>
    <xf numFmtId="0" fontId="22" fillId="0" borderId="13" xfId="68" applyFont="1" applyFill="1" applyBorder="1" applyAlignment="1">
      <alignment horizontal="left" vertical="center" wrapText="1"/>
    </xf>
    <xf numFmtId="183" fontId="22" fillId="0" borderId="13" xfId="68" applyNumberFormat="1" applyFont="1" applyFill="1" applyBorder="1" applyAlignment="1">
      <alignment horizontal="center" vertical="center"/>
    </xf>
    <xf numFmtId="176" fontId="24" fillId="0" borderId="13" xfId="0" applyFont="1" applyFill="1" applyBorder="1" applyAlignment="1">
      <alignment horizontal="center" vertical="center" wrapText="1"/>
    </xf>
    <xf numFmtId="176" fontId="0" fillId="0" borderId="13" xfId="0" applyFill="1" applyBorder="1"/>
    <xf numFmtId="176" fontId="0" fillId="0" borderId="13" xfId="0" applyBorder="1" applyAlignment="1">
      <alignment horizontal="center"/>
    </xf>
    <xf numFmtId="176" fontId="20" fillId="0" borderId="13" xfId="0" applyFont="1" applyBorder="1" applyAlignment="1">
      <alignment horizontal="center" vertical="center" wrapText="1"/>
    </xf>
    <xf numFmtId="184" fontId="0" fillId="0" borderId="0" xfId="0" applyNumberFormat="1"/>
    <xf numFmtId="0" fontId="22" fillId="0" borderId="13" xfId="68" applyFont="1" applyBorder="1" applyAlignment="1">
      <alignment horizontal="center" vertical="center" wrapText="1"/>
    </xf>
    <xf numFmtId="0" fontId="22" fillId="0" borderId="13" xfId="68" applyFont="1" applyBorder="1" applyAlignment="1">
      <alignment horizontal="center" vertical="center"/>
    </xf>
    <xf numFmtId="0" fontId="16" fillId="0" borderId="13" xfId="68" applyFont="1" applyBorder="1" applyAlignment="1">
      <alignment vertical="center"/>
    </xf>
    <xf numFmtId="0" fontId="24" fillId="0" borderId="13" xfId="68" applyFont="1" applyBorder="1" applyAlignment="1">
      <alignment horizontal="center" vertical="center"/>
    </xf>
    <xf numFmtId="0" fontId="24" fillId="5" borderId="13" xfId="0" applyNumberFormat="1" applyFont="1" applyFill="1" applyBorder="1" applyAlignment="1">
      <alignment horizontal="center" vertical="center" wrapText="1"/>
    </xf>
    <xf numFmtId="176" fontId="0" fillId="5" borderId="0" xfId="0" applyFill="1" applyAlignment="1">
      <alignment horizontal="center" vertical="center" wrapText="1"/>
    </xf>
    <xf numFmtId="0" fontId="31" fillId="0" borderId="0" xfId="0" applyNumberFormat="1" applyFont="1" applyAlignment="1">
      <alignment horizontal="center" vertical="center" wrapText="1"/>
    </xf>
    <xf numFmtId="185" fontId="28" fillId="0" borderId="0" xfId="0" applyNumberFormat="1" applyFont="1" applyAlignment="1">
      <alignment horizontal="center" vertical="center" wrapText="1"/>
    </xf>
    <xf numFmtId="0" fontId="22" fillId="0" borderId="0" xfId="67" applyNumberFormat="1" applyFont="1" applyAlignment="1">
      <alignment horizontal="center" vertical="center"/>
    </xf>
    <xf numFmtId="183" fontId="22" fillId="0" borderId="0" xfId="67" applyNumberFormat="1" applyFont="1" applyAlignment="1">
      <alignment horizontal="center" vertical="center"/>
    </xf>
    <xf numFmtId="176" fontId="0" fillId="0" borderId="0" xfId="0" applyAlignment="1">
      <alignment horizontal="center" vertical="center" wrapText="1"/>
    </xf>
    <xf numFmtId="0" fontId="24" fillId="5" borderId="0" xfId="0" applyNumberFormat="1" applyFont="1" applyFill="1" applyAlignment="1">
      <alignment horizontal="center" vertical="center" wrapText="1"/>
    </xf>
    <xf numFmtId="0" fontId="24" fillId="0" borderId="0" xfId="67" applyNumberFormat="1" applyFont="1" applyAlignment="1">
      <alignment horizontal="center" vertical="center"/>
    </xf>
    <xf numFmtId="176" fontId="24" fillId="0" borderId="13" xfId="0" applyFont="1" applyBorder="1"/>
    <xf numFmtId="183" fontId="22" fillId="0" borderId="13" xfId="67" applyNumberFormat="1" applyFont="1" applyBorder="1" applyAlignment="1">
      <alignment horizontal="center" vertical="center"/>
    </xf>
    <xf numFmtId="176" fontId="0" fillId="5" borderId="0" xfId="0" applyFill="1" applyAlignment="1">
      <alignment wrapText="1"/>
    </xf>
    <xf numFmtId="176" fontId="24" fillId="0" borderId="0" xfId="68" applyNumberFormat="1" applyFont="1" applyAlignment="1">
      <alignment horizontal="center" vertical="center" wrapText="1"/>
    </xf>
    <xf numFmtId="176" fontId="0" fillId="0" borderId="0" xfId="0" applyAlignment="1">
      <alignment horizontal="left" vertical="center" wrapText="1"/>
    </xf>
    <xf numFmtId="18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76" fontId="0" fillId="0" borderId="0" xfId="0" applyAlignment="1">
      <alignment wrapText="1"/>
    </xf>
    <xf numFmtId="183" fontId="15" fillId="10" borderId="13" xfId="0" applyNumberFormat="1" applyFont="1" applyFill="1" applyBorder="1" applyAlignment="1">
      <alignment horizontal="center" vertical="center" wrapText="1"/>
    </xf>
    <xf numFmtId="0" fontId="16" fillId="0" borderId="13" xfId="68" applyFont="1" applyBorder="1" applyAlignment="1">
      <alignment horizontal="center" vertical="center" wrapText="1"/>
    </xf>
    <xf numFmtId="176" fontId="16" fillId="0" borderId="13" xfId="67" applyFont="1" applyBorder="1" applyAlignment="1">
      <alignment horizontal="center" vertical="center" wrapText="1"/>
    </xf>
    <xf numFmtId="176" fontId="16" fillId="0" borderId="13" xfId="67" applyFont="1" applyBorder="1" applyAlignment="1">
      <alignment horizontal="left" vertical="center" wrapText="1"/>
    </xf>
    <xf numFmtId="176" fontId="24" fillId="0" borderId="13" xfId="68" applyNumberFormat="1" applyFont="1" applyBorder="1" applyAlignment="1">
      <alignment horizontal="center" vertical="center" wrapText="1"/>
    </xf>
    <xf numFmtId="0" fontId="24" fillId="0" borderId="13" xfId="68" applyFont="1" applyBorder="1" applyAlignment="1">
      <alignment horizontal="center" vertical="center" wrapText="1"/>
    </xf>
    <xf numFmtId="176" fontId="0" fillId="0" borderId="13" xfId="0" applyBorder="1" applyAlignment="1">
      <alignment wrapText="1"/>
    </xf>
    <xf numFmtId="176" fontId="27" fillId="0" borderId="13" xfId="67" applyFont="1" applyBorder="1" applyAlignment="1">
      <alignment horizontal="center" vertical="center" wrapText="1"/>
    </xf>
    <xf numFmtId="0" fontId="27" fillId="0" borderId="13" xfId="68" applyFont="1" applyBorder="1" applyAlignment="1">
      <alignment horizontal="left" vertical="center" wrapText="1"/>
    </xf>
    <xf numFmtId="0" fontId="16" fillId="0" borderId="13" xfId="68" applyFont="1" applyBorder="1" applyAlignment="1">
      <alignment horizontal="left" vertical="center" wrapText="1"/>
    </xf>
    <xf numFmtId="183" fontId="0" fillId="0" borderId="13" xfId="0" applyNumberFormat="1" applyBorder="1" applyAlignment="1">
      <alignment horizontal="center" vertical="center" wrapText="1"/>
    </xf>
    <xf numFmtId="176" fontId="24" fillId="0" borderId="13" xfId="67" applyFont="1" applyBorder="1" applyAlignment="1">
      <alignment horizontal="center" vertical="center" wrapText="1"/>
    </xf>
    <xf numFmtId="0" fontId="24" fillId="0" borderId="13" xfId="67" applyNumberFormat="1" applyFont="1" applyBorder="1" applyAlignment="1">
      <alignment horizontal="center" vertical="center" wrapText="1"/>
    </xf>
    <xf numFmtId="176" fontId="27" fillId="0" borderId="13" xfId="67" applyFont="1" applyBorder="1" applyAlignment="1">
      <alignment horizontal="left" vertical="center" wrapText="1"/>
    </xf>
    <xf numFmtId="176" fontId="20" fillId="0" borderId="13" xfId="67" applyFont="1" applyBorder="1" applyAlignment="1">
      <alignment horizontal="left" vertical="center" wrapText="1"/>
    </xf>
    <xf numFmtId="183" fontId="16" fillId="0" borderId="13" xfId="0" applyNumberFormat="1" applyFont="1" applyBorder="1" applyAlignment="1">
      <alignment horizontal="center" vertical="center" wrapText="1"/>
    </xf>
    <xf numFmtId="176" fontId="16" fillId="11" borderId="13" xfId="0" applyFont="1" applyFill="1" applyBorder="1" applyAlignment="1">
      <alignment horizontal="left" vertical="center" wrapText="1"/>
    </xf>
    <xf numFmtId="183" fontId="16" fillId="11" borderId="13" xfId="0" applyNumberFormat="1" applyFont="1" applyFill="1" applyBorder="1" applyAlignment="1">
      <alignment horizontal="center" vertical="center"/>
    </xf>
    <xf numFmtId="176" fontId="20" fillId="0" borderId="13" xfId="0" applyFont="1" applyBorder="1" applyAlignment="1">
      <alignment horizontal="left" vertical="center" wrapText="1"/>
    </xf>
    <xf numFmtId="176" fontId="0" fillId="0" borderId="0" xfId="0" applyAlignment="1">
      <alignment horizontal="left" vertical="top" wrapText="1"/>
    </xf>
    <xf numFmtId="180" fontId="13" fillId="0" borderId="0" xfId="0" applyNumberFormat="1" applyFont="1" applyAlignment="1">
      <alignment horizontal="center" vertical="center" wrapText="1"/>
    </xf>
    <xf numFmtId="176" fontId="13" fillId="0" borderId="0" xfId="0" applyFont="1" applyAlignment="1">
      <alignment horizontal="center" vertical="center" wrapText="1"/>
    </xf>
    <xf numFmtId="176" fontId="32" fillId="10" borderId="13" xfId="0" applyFont="1" applyFill="1" applyBorder="1" applyAlignment="1">
      <alignment horizontal="center" vertical="center" wrapText="1"/>
    </xf>
    <xf numFmtId="176" fontId="33" fillId="10" borderId="13" xfId="0" applyFont="1" applyFill="1" applyBorder="1" applyAlignment="1">
      <alignment horizontal="center" vertical="center" wrapText="1"/>
    </xf>
    <xf numFmtId="0" fontId="20" fillId="0" borderId="28" xfId="0" applyNumberFormat="1" applyFont="1" applyBorder="1" applyAlignment="1">
      <alignment horizontal="center" vertical="center" wrapText="1"/>
    </xf>
    <xf numFmtId="176" fontId="34" fillId="5" borderId="13" xfId="0" applyFont="1" applyFill="1" applyBorder="1" applyAlignment="1">
      <alignment horizontal="left" vertical="center" wrapText="1"/>
    </xf>
    <xf numFmtId="180" fontId="35" fillId="0" borderId="13" xfId="0" applyNumberFormat="1" applyFont="1" applyBorder="1" applyAlignment="1">
      <alignment vertical="center" wrapText="1"/>
    </xf>
    <xf numFmtId="176" fontId="0" fillId="0" borderId="13" xfId="0" applyBorder="1" applyAlignment="1">
      <alignment vertical="center" wrapText="1"/>
    </xf>
    <xf numFmtId="0" fontId="36" fillId="0" borderId="13" xfId="0" applyNumberFormat="1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 wrapText="1"/>
    </xf>
    <xf numFmtId="176" fontId="13" fillId="0" borderId="13" xfId="0" applyFont="1" applyBorder="1" applyAlignment="1">
      <alignment horizontal="center" vertical="center" wrapText="1"/>
    </xf>
    <xf numFmtId="176" fontId="23" fillId="0" borderId="13" xfId="0" applyFont="1" applyBorder="1" applyAlignment="1">
      <alignment horizontal="center" vertical="center"/>
    </xf>
    <xf numFmtId="0" fontId="16" fillId="0" borderId="0" xfId="69" applyFont="1"/>
    <xf numFmtId="0" fontId="16" fillId="0" borderId="0" xfId="69" applyFont="1" applyAlignment="1">
      <alignment horizontal="left"/>
    </xf>
    <xf numFmtId="176" fontId="20" fillId="0" borderId="28" xfId="0" applyFont="1" applyBorder="1" applyAlignment="1">
      <alignment horizontal="center" vertical="center" wrapText="1"/>
    </xf>
    <xf numFmtId="0" fontId="19" fillId="0" borderId="13" xfId="73" applyFont="1" applyBorder="1" applyAlignment="1">
      <alignment horizontal="center" vertical="center" wrapText="1"/>
    </xf>
    <xf numFmtId="0" fontId="19" fillId="0" borderId="13" xfId="73" applyFont="1" applyBorder="1" applyAlignment="1">
      <alignment horizontal="left" vertical="center" wrapText="1"/>
    </xf>
    <xf numFmtId="176" fontId="19" fillId="0" borderId="13" xfId="73" applyNumberFormat="1" applyFont="1" applyBorder="1" applyAlignment="1">
      <alignment horizontal="center" vertical="center" wrapText="1"/>
    </xf>
    <xf numFmtId="176" fontId="24" fillId="0" borderId="13" xfId="73" applyNumberFormat="1" applyFont="1" applyBorder="1" applyAlignment="1">
      <alignment horizontal="center" vertical="center" wrapText="1"/>
    </xf>
    <xf numFmtId="0" fontId="24" fillId="0" borderId="13" xfId="73" applyFont="1" applyBorder="1" applyAlignment="1">
      <alignment horizontal="center" vertical="center" wrapText="1"/>
    </xf>
    <xf numFmtId="0" fontId="19" fillId="0" borderId="13" xfId="72" applyFont="1" applyBorder="1" applyAlignment="1">
      <alignment horizontal="center" vertical="center" wrapText="1"/>
    </xf>
    <xf numFmtId="176" fontId="19" fillId="0" borderId="13" xfId="72" applyNumberFormat="1" applyFont="1" applyBorder="1" applyAlignment="1">
      <alignment horizontal="center" vertical="center" wrapText="1"/>
    </xf>
    <xf numFmtId="0" fontId="24" fillId="0" borderId="13" xfId="72" applyFont="1" applyBorder="1" applyAlignment="1">
      <alignment horizontal="center" vertical="center" wrapText="1"/>
    </xf>
    <xf numFmtId="0" fontId="24" fillId="0" borderId="13" xfId="0" applyNumberFormat="1" applyFont="1" applyBorder="1" applyAlignment="1">
      <alignment horizontal="center" vertical="center"/>
    </xf>
    <xf numFmtId="186" fontId="13" fillId="0" borderId="0" xfId="0" applyNumberFormat="1" applyFont="1"/>
    <xf numFmtId="176" fontId="23" fillId="0" borderId="13" xfId="67" applyFont="1" applyBorder="1" applyAlignment="1">
      <alignment horizontal="center" vertical="center" wrapText="1"/>
    </xf>
    <xf numFmtId="186" fontId="0" fillId="0" borderId="0" xfId="0" applyNumberFormat="1"/>
    <xf numFmtId="180" fontId="36" fillId="0" borderId="13" xfId="0" applyNumberFormat="1" applyFont="1" applyBorder="1" applyAlignment="1">
      <alignment vertical="center" wrapText="1"/>
    </xf>
    <xf numFmtId="0" fontId="22" fillId="0" borderId="13" xfId="72" applyFont="1" applyBorder="1" applyAlignment="1">
      <alignment horizontal="center" vertical="center"/>
    </xf>
    <xf numFmtId="176" fontId="35" fillId="0" borderId="13" xfId="0" applyFont="1" applyBorder="1" applyAlignment="1">
      <alignment vertical="center" wrapText="1"/>
    </xf>
    <xf numFmtId="176" fontId="24" fillId="0" borderId="13" xfId="0" applyFont="1" applyBorder="1" applyAlignment="1">
      <alignment horizontal="center" wrapText="1"/>
    </xf>
    <xf numFmtId="0" fontId="13" fillId="0" borderId="0" xfId="0" applyNumberFormat="1" applyFont="1" applyAlignment="1">
      <alignment horizontal="center" vertical="center" wrapText="1"/>
    </xf>
    <xf numFmtId="176" fontId="0" fillId="0" borderId="13" xfId="0" applyBorder="1" applyAlignment="1">
      <alignment horizontal="left" vertical="top" wrapText="1"/>
    </xf>
    <xf numFmtId="176" fontId="16" fillId="0" borderId="13" xfId="0" applyFon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76" fontId="13" fillId="0" borderId="13" xfId="0" applyFont="1" applyBorder="1" applyAlignment="1">
      <alignment horizontal="center" vertical="center"/>
    </xf>
    <xf numFmtId="176" fontId="37" fillId="0" borderId="13" xfId="0" applyFont="1" applyBorder="1" applyAlignment="1">
      <alignment horizontal="center" vertical="center"/>
    </xf>
    <xf numFmtId="49" fontId="38" fillId="0" borderId="13" xfId="0" applyNumberFormat="1" applyFont="1" applyBorder="1" applyAlignment="1">
      <alignment horizontal="left" vertical="center" wrapText="1"/>
    </xf>
    <xf numFmtId="49" fontId="27" fillId="0" borderId="13" xfId="0" applyNumberFormat="1" applyFont="1" applyBorder="1" applyAlignment="1">
      <alignment horizontal="left" vertical="center" wrapText="1"/>
    </xf>
    <xf numFmtId="49" fontId="34" fillId="0" borderId="13" xfId="0" applyNumberFormat="1" applyFont="1" applyBorder="1" applyAlignment="1">
      <alignment horizontal="left" vertical="center" wrapText="1"/>
    </xf>
    <xf numFmtId="176" fontId="36" fillId="0" borderId="13" xfId="0" applyFont="1" applyBorder="1" applyAlignment="1">
      <alignment horizontal="center" vertical="center" wrapText="1"/>
    </xf>
    <xf numFmtId="176" fontId="35" fillId="0" borderId="13" xfId="0" applyFont="1" applyBorder="1" applyAlignment="1">
      <alignment horizontal="center" vertical="center" wrapText="1"/>
    </xf>
    <xf numFmtId="0" fontId="20" fillId="0" borderId="13" xfId="0" applyNumberFormat="1" applyFont="1" applyBorder="1" applyAlignment="1">
      <alignment horizontal="left" vertical="center" wrapText="1"/>
    </xf>
    <xf numFmtId="187" fontId="28" fillId="0" borderId="0" xfId="0" applyNumberFormat="1" applyFont="1" applyAlignment="1">
      <alignment horizontal="center" vertical="center" wrapText="1"/>
    </xf>
    <xf numFmtId="49" fontId="20" fillId="0" borderId="13" xfId="0" applyNumberFormat="1" applyFont="1" applyBorder="1" applyAlignment="1">
      <alignment horizontal="left" vertical="center" wrapText="1"/>
    </xf>
    <xf numFmtId="49" fontId="19" fillId="0" borderId="13" xfId="0" applyNumberFormat="1" applyFont="1" applyBorder="1" applyAlignment="1">
      <alignment horizontal="left" vertical="center" wrapText="1"/>
    </xf>
    <xf numFmtId="0" fontId="20" fillId="5" borderId="13" xfId="0" applyNumberFormat="1" applyFont="1" applyFill="1" applyBorder="1" applyAlignment="1">
      <alignment horizontal="center" vertical="center" wrapText="1"/>
    </xf>
    <xf numFmtId="0" fontId="16" fillId="0" borderId="13" xfId="67" applyNumberFormat="1" applyFont="1" applyBorder="1" applyAlignment="1">
      <alignment horizontal="center" vertical="center" wrapText="1"/>
    </xf>
    <xf numFmtId="0" fontId="16" fillId="0" borderId="0" xfId="69" applyFont="1" applyAlignment="1">
      <alignment horizontal="left" vertical="center"/>
    </xf>
    <xf numFmtId="184" fontId="19" fillId="0" borderId="13" xfId="73" applyNumberFormat="1" applyFont="1" applyBorder="1" applyAlignment="1">
      <alignment horizontal="center" vertical="center" wrapText="1"/>
    </xf>
    <xf numFmtId="184" fontId="16" fillId="0" borderId="0" xfId="69" applyNumberFormat="1" applyFont="1"/>
    <xf numFmtId="0" fontId="20" fillId="0" borderId="13" xfId="73" applyFont="1" applyBorder="1" applyAlignment="1">
      <alignment horizontal="left" vertical="center" wrapText="1"/>
    </xf>
    <xf numFmtId="176" fontId="39" fillId="0" borderId="13" xfId="0" applyFont="1" applyBorder="1" applyAlignment="1">
      <alignment horizontal="center" vertical="center" wrapText="1"/>
    </xf>
    <xf numFmtId="184" fontId="24" fillId="0" borderId="13" xfId="73" applyNumberFormat="1" applyFont="1" applyBorder="1" applyAlignment="1">
      <alignment horizontal="center" vertical="center" wrapText="1"/>
    </xf>
    <xf numFmtId="0" fontId="16" fillId="0" borderId="0" xfId="72" applyFont="1"/>
    <xf numFmtId="0" fontId="16" fillId="0" borderId="0" xfId="72" applyFont="1" applyAlignment="1">
      <alignment horizontal="center" vertical="center"/>
    </xf>
    <xf numFmtId="0" fontId="16" fillId="0" borderId="0" xfId="72" applyFont="1" applyAlignment="1">
      <alignment vertical="center"/>
    </xf>
    <xf numFmtId="0" fontId="16" fillId="0" borderId="0" xfId="72" applyFont="1" applyAlignment="1">
      <alignment horizontal="center"/>
    </xf>
    <xf numFmtId="0" fontId="22" fillId="0" borderId="13" xfId="0" applyNumberFormat="1" applyFont="1" applyBorder="1" applyAlignment="1">
      <alignment horizontal="center" vertical="center"/>
    </xf>
    <xf numFmtId="0" fontId="22" fillId="0" borderId="13" xfId="72" applyFont="1" applyBorder="1" applyAlignment="1">
      <alignment vertical="center" wrapText="1"/>
    </xf>
    <xf numFmtId="176" fontId="22" fillId="0" borderId="13" xfId="72" applyNumberFormat="1" applyFont="1" applyBorder="1" applyAlignment="1">
      <alignment horizontal="center" vertical="center"/>
    </xf>
    <xf numFmtId="0" fontId="36" fillId="0" borderId="13" xfId="0" applyNumberFormat="1" applyFont="1" applyBorder="1" applyAlignment="1">
      <alignment horizontal="center" vertical="center" wrapText="1"/>
    </xf>
    <xf numFmtId="184" fontId="16" fillId="0" borderId="13" xfId="72" applyNumberFormat="1" applyFont="1" applyBorder="1" applyAlignment="1">
      <alignment horizontal="center"/>
    </xf>
    <xf numFmtId="0" fontId="24" fillId="0" borderId="13" xfId="72" applyFont="1" applyBorder="1" applyAlignment="1">
      <alignment horizontal="center" vertical="center"/>
    </xf>
    <xf numFmtId="0" fontId="16" fillId="0" borderId="13" xfId="72" applyFont="1" applyBorder="1"/>
    <xf numFmtId="176" fontId="22" fillId="0" borderId="13" xfId="73" applyNumberFormat="1" applyFont="1" applyBorder="1" applyAlignment="1">
      <alignment horizontal="center" vertical="center"/>
    </xf>
    <xf numFmtId="184" fontId="24" fillId="0" borderId="13" xfId="0" applyNumberFormat="1" applyFont="1" applyBorder="1" applyAlignment="1">
      <alignment horizontal="center" vertical="center"/>
    </xf>
    <xf numFmtId="0" fontId="19" fillId="0" borderId="13" xfId="72" applyFont="1" applyBorder="1" applyAlignment="1">
      <alignment vertical="center" wrapText="1"/>
    </xf>
    <xf numFmtId="184" fontId="24" fillId="0" borderId="13" xfId="72" applyNumberFormat="1" applyFont="1" applyBorder="1" applyAlignment="1">
      <alignment horizontal="center" vertical="center"/>
    </xf>
    <xf numFmtId="0" fontId="19" fillId="0" borderId="13" xfId="0" applyNumberFormat="1" applyFont="1" applyBorder="1" applyAlignment="1">
      <alignment vertical="center" wrapText="1"/>
    </xf>
    <xf numFmtId="176" fontId="16" fillId="0" borderId="0" xfId="72" applyNumberFormat="1" applyFont="1"/>
    <xf numFmtId="179" fontId="20" fillId="0" borderId="13" xfId="0" applyNumberFormat="1" applyFont="1" applyBorder="1" applyAlignment="1">
      <alignment horizontal="center" vertical="center" wrapText="1"/>
    </xf>
    <xf numFmtId="188" fontId="22" fillId="0" borderId="13" xfId="72" applyNumberFormat="1" applyFont="1" applyBorder="1" applyAlignment="1">
      <alignment horizontal="center" vertical="center"/>
    </xf>
    <xf numFmtId="184" fontId="0" fillId="0" borderId="13" xfId="0" applyNumberFormat="1" applyBorder="1" applyAlignment="1">
      <alignment horizontal="center" vertical="center"/>
    </xf>
    <xf numFmtId="176" fontId="40" fillId="0" borderId="33" xfId="0" applyFont="1" applyBorder="1" applyAlignment="1">
      <alignment horizontal="center" vertical="center" wrapText="1"/>
    </xf>
    <xf numFmtId="0" fontId="16" fillId="0" borderId="0" xfId="78" applyFont="1"/>
    <xf numFmtId="0" fontId="16" fillId="0" borderId="0" xfId="78" applyFont="1" applyAlignment="1">
      <alignment horizontal="left"/>
    </xf>
    <xf numFmtId="0" fontId="16" fillId="0" borderId="0" xfId="78" applyFont="1" applyAlignment="1">
      <alignment horizontal="center" vertical="center"/>
    </xf>
    <xf numFmtId="0" fontId="16" fillId="0" borderId="13" xfId="78" applyFont="1" applyBorder="1" applyAlignment="1">
      <alignment horizontal="center" vertical="center" wrapText="1"/>
    </xf>
    <xf numFmtId="0" fontId="16" fillId="0" borderId="13" xfId="78" applyFont="1" applyBorder="1" applyAlignment="1">
      <alignment horizontal="left" vertical="center" wrapText="1"/>
    </xf>
    <xf numFmtId="0" fontId="22" fillId="0" borderId="13" xfId="78" applyFont="1" applyBorder="1" applyAlignment="1">
      <alignment horizontal="center" vertical="center"/>
    </xf>
    <xf numFmtId="0" fontId="28" fillId="0" borderId="28" xfId="78" applyFont="1" applyBorder="1" applyAlignment="1">
      <alignment horizontal="center" vertical="center" wrapText="1"/>
    </xf>
    <xf numFmtId="187" fontId="28" fillId="0" borderId="28" xfId="78" applyNumberFormat="1" applyFont="1" applyBorder="1" applyAlignment="1">
      <alignment horizontal="center" vertical="center" wrapText="1"/>
    </xf>
    <xf numFmtId="0" fontId="24" fillId="0" borderId="13" xfId="78" applyFont="1" applyBorder="1" applyAlignment="1">
      <alignment horizontal="center" vertical="center"/>
    </xf>
    <xf numFmtId="184" fontId="16" fillId="0" borderId="0" xfId="78" applyNumberFormat="1" applyFont="1"/>
    <xf numFmtId="0" fontId="41" fillId="0" borderId="13" xfId="78" applyFont="1" applyBorder="1" applyAlignment="1">
      <alignment horizontal="left" vertical="center" wrapText="1"/>
    </xf>
    <xf numFmtId="184" fontId="16" fillId="0" borderId="13" xfId="78" applyNumberFormat="1" applyFont="1" applyBorder="1" applyAlignment="1">
      <alignment horizontal="center" vertical="center"/>
    </xf>
    <xf numFmtId="176" fontId="16" fillId="0" borderId="16" xfId="67" applyFont="1" applyBorder="1" applyAlignment="1">
      <alignment horizontal="center" vertical="center" wrapText="1"/>
    </xf>
    <xf numFmtId="176" fontId="27" fillId="5" borderId="13" xfId="0" applyFont="1" applyFill="1" applyBorder="1" applyAlignment="1">
      <alignment horizontal="left" vertical="center" wrapText="1"/>
    </xf>
    <xf numFmtId="176" fontId="28" fillId="0" borderId="13" xfId="0" applyFont="1" applyBorder="1" applyAlignment="1">
      <alignment horizontal="center" vertical="center" wrapText="1"/>
    </xf>
    <xf numFmtId="0" fontId="16" fillId="0" borderId="13" xfId="0" applyNumberFormat="1" applyFont="1" applyBorder="1" applyAlignment="1">
      <alignment horizontal="left" vertical="center" wrapText="1"/>
    </xf>
    <xf numFmtId="0" fontId="0" fillId="0" borderId="13" xfId="0" applyNumberFormat="1" applyBorder="1" applyAlignment="1">
      <alignment horizontal="left" vertical="center" wrapText="1"/>
    </xf>
    <xf numFmtId="176" fontId="13" fillId="5" borderId="0" xfId="0" applyFont="1" applyFill="1"/>
    <xf numFmtId="176" fontId="13" fillId="0" borderId="0" xfId="0" applyFont="1" applyAlignment="1">
      <alignment horizontal="left" vertical="center" wrapText="1"/>
    </xf>
    <xf numFmtId="176" fontId="13" fillId="0" borderId="0" xfId="0" applyFont="1" applyAlignment="1">
      <alignment horizontal="center" vertical="center"/>
    </xf>
    <xf numFmtId="176" fontId="0" fillId="5" borderId="13" xfId="0" applyFill="1" applyBorder="1"/>
    <xf numFmtId="176" fontId="22" fillId="0" borderId="13" xfId="0" applyFont="1" applyBorder="1" applyAlignment="1">
      <alignment vertical="center"/>
    </xf>
    <xf numFmtId="176" fontId="19" fillId="0" borderId="13" xfId="0" applyFont="1" applyBorder="1" applyAlignment="1">
      <alignment horizontal="left" vertical="center" wrapText="1"/>
    </xf>
    <xf numFmtId="176" fontId="22" fillId="0" borderId="13" xfId="0" applyFont="1" applyBorder="1" applyAlignment="1">
      <alignment horizontal="left" vertical="center" wrapText="1"/>
    </xf>
    <xf numFmtId="0" fontId="39" fillId="0" borderId="13" xfId="0" applyNumberFormat="1" applyFont="1" applyBorder="1" applyAlignment="1">
      <alignment horizontal="center" vertical="center" wrapText="1"/>
    </xf>
    <xf numFmtId="176" fontId="23" fillId="0" borderId="0" xfId="0" applyFont="1" applyAlignment="1">
      <alignment horizontal="center" vertical="center"/>
    </xf>
    <xf numFmtId="176" fontId="42" fillId="0" borderId="13" xfId="0" applyFont="1" applyBorder="1" applyAlignment="1">
      <alignment horizontal="center" vertical="center" wrapText="1"/>
    </xf>
    <xf numFmtId="184" fontId="13" fillId="0" borderId="13" xfId="0" applyNumberFormat="1" applyFont="1" applyBorder="1"/>
    <xf numFmtId="0" fontId="13" fillId="0" borderId="13" xfId="0" applyNumberFormat="1" applyFont="1" applyBorder="1" applyAlignment="1">
      <alignment horizontal="center" vertical="center"/>
    </xf>
    <xf numFmtId="0" fontId="34" fillId="0" borderId="13" xfId="0" applyNumberFormat="1" applyFont="1" applyBorder="1" applyAlignment="1">
      <alignment horizontal="left" vertical="center" wrapText="1"/>
    </xf>
    <xf numFmtId="0" fontId="20" fillId="0" borderId="31" xfId="0" applyNumberFormat="1" applyFont="1" applyBorder="1" applyAlignment="1">
      <alignment horizontal="center" vertical="center" wrapText="1"/>
    </xf>
    <xf numFmtId="176" fontId="42" fillId="0" borderId="31" xfId="0" applyFont="1" applyBorder="1" applyAlignment="1">
      <alignment horizontal="center" vertical="center" wrapText="1"/>
    </xf>
    <xf numFmtId="176" fontId="0" fillId="0" borderId="31" xfId="0" applyBorder="1" applyAlignment="1">
      <alignment horizontal="left" vertical="center" wrapText="1"/>
    </xf>
    <xf numFmtId="176" fontId="0" fillId="0" borderId="31" xfId="0" applyBorder="1" applyAlignment="1">
      <alignment horizontal="center" vertical="center" wrapText="1"/>
    </xf>
    <xf numFmtId="176" fontId="24" fillId="0" borderId="31" xfId="0" applyFont="1" applyBorder="1" applyAlignment="1">
      <alignment horizontal="center" vertical="center" wrapText="1"/>
    </xf>
    <xf numFmtId="176" fontId="13" fillId="0" borderId="31" xfId="0" applyFont="1" applyBorder="1" applyAlignment="1">
      <alignment horizontal="center" vertical="center" wrapText="1"/>
    </xf>
    <xf numFmtId="0" fontId="13" fillId="0" borderId="31" xfId="0" applyNumberFormat="1" applyFont="1" applyBorder="1" applyAlignment="1">
      <alignment horizontal="center" vertical="center"/>
    </xf>
    <xf numFmtId="0" fontId="20" fillId="0" borderId="0" xfId="0" applyNumberFormat="1" applyFont="1" applyAlignment="1">
      <alignment horizontal="center" vertical="center" wrapText="1"/>
    </xf>
    <xf numFmtId="0" fontId="20" fillId="0" borderId="29" xfId="0" applyNumberFormat="1" applyFont="1" applyBorder="1" applyAlignment="1">
      <alignment horizontal="center" vertical="center" wrapText="1"/>
    </xf>
    <xf numFmtId="176" fontId="42" fillId="0" borderId="29" xfId="0" applyFont="1" applyBorder="1" applyAlignment="1">
      <alignment horizontal="center" vertical="center" wrapText="1"/>
    </xf>
    <xf numFmtId="176" fontId="20" fillId="0" borderId="29" xfId="0" applyFont="1" applyBorder="1" applyAlignment="1">
      <alignment horizontal="center" vertical="center" wrapText="1"/>
    </xf>
    <xf numFmtId="0" fontId="19" fillId="0" borderId="29" xfId="0" applyNumberFormat="1" applyFont="1" applyBorder="1" applyAlignment="1">
      <alignment vertical="center" wrapText="1"/>
    </xf>
    <xf numFmtId="176" fontId="24" fillId="0" borderId="29" xfId="0" applyFont="1" applyBorder="1" applyAlignment="1">
      <alignment horizontal="center" vertical="center" wrapText="1"/>
    </xf>
    <xf numFmtId="176" fontId="13" fillId="0" borderId="29" xfId="0" applyFont="1" applyBorder="1" applyAlignment="1">
      <alignment horizontal="center" vertical="center" wrapText="1"/>
    </xf>
    <xf numFmtId="0" fontId="13" fillId="0" borderId="29" xfId="0" applyNumberFormat="1" applyFont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 wrapText="1"/>
    </xf>
    <xf numFmtId="176" fontId="43" fillId="5" borderId="16" xfId="0" applyFont="1" applyFill="1" applyBorder="1" applyAlignment="1">
      <alignment horizontal="center" vertical="center" wrapText="1"/>
    </xf>
    <xf numFmtId="176" fontId="21" fillId="5" borderId="13" xfId="0" applyFont="1" applyFill="1" applyBorder="1" applyAlignment="1">
      <alignment horizontal="center" vertical="center" wrapText="1"/>
    </xf>
    <xf numFmtId="176" fontId="41" fillId="0" borderId="13" xfId="67" applyFont="1" applyBorder="1" applyAlignment="1">
      <alignment horizontal="left" vertical="center" wrapText="1"/>
    </xf>
    <xf numFmtId="176" fontId="30" fillId="0" borderId="13" xfId="67" applyFont="1" applyBorder="1" applyAlignment="1">
      <alignment horizontal="left" vertical="center" wrapText="1"/>
    </xf>
    <xf numFmtId="176" fontId="16" fillId="0" borderId="13" xfId="67" applyBorder="1" applyAlignment="1">
      <alignment horizontal="left" vertical="center" wrapText="1"/>
    </xf>
    <xf numFmtId="176" fontId="34" fillId="0" borderId="13" xfId="67" applyFont="1" applyBorder="1" applyAlignment="1">
      <alignment horizontal="left" vertical="center" wrapText="1"/>
    </xf>
    <xf numFmtId="176" fontId="43" fillId="5" borderId="13" xfId="0" applyFont="1" applyFill="1" applyBorder="1" applyAlignment="1">
      <alignment horizontal="center" vertical="center" wrapText="1"/>
    </xf>
    <xf numFmtId="176" fontId="44" fillId="0" borderId="13" xfId="0" applyFont="1" applyBorder="1" applyAlignment="1">
      <alignment horizontal="center" vertical="center" wrapText="1"/>
    </xf>
    <xf numFmtId="176" fontId="45" fillId="0" borderId="13" xfId="0" applyFont="1" applyBorder="1" applyAlignment="1">
      <alignment horizontal="center" vertical="center" wrapText="1"/>
    </xf>
    <xf numFmtId="176" fontId="46" fillId="0" borderId="13" xfId="0" applyFont="1" applyBorder="1" applyAlignment="1">
      <alignment horizontal="center" vertical="center" wrapText="1"/>
    </xf>
    <xf numFmtId="176" fontId="45" fillId="0" borderId="13" xfId="67" applyFont="1" applyBorder="1" applyAlignment="1">
      <alignment horizontal="left" vertical="center" wrapText="1"/>
    </xf>
    <xf numFmtId="176" fontId="37" fillId="0" borderId="13" xfId="0" applyFont="1" applyBorder="1"/>
    <xf numFmtId="0" fontId="13" fillId="0" borderId="0" xfId="78" applyFont="1" applyAlignment="1">
      <alignment horizontal="center" vertical="center" wrapText="1"/>
    </xf>
    <xf numFmtId="0" fontId="13" fillId="0" borderId="0" xfId="78" applyFont="1" applyAlignment="1">
      <alignment horizontal="left" vertical="center" wrapText="1"/>
    </xf>
    <xf numFmtId="180" fontId="13" fillId="0" borderId="0" xfId="78" applyNumberFormat="1" applyFont="1" applyAlignment="1">
      <alignment horizontal="center" vertical="center" wrapText="1"/>
    </xf>
    <xf numFmtId="0" fontId="13" fillId="0" borderId="0" xfId="78" applyFont="1"/>
    <xf numFmtId="176" fontId="16" fillId="0" borderId="13" xfId="78" applyNumberFormat="1" applyFont="1" applyBorder="1" applyAlignment="1">
      <alignment horizontal="center" vertical="center" wrapText="1"/>
    </xf>
    <xf numFmtId="0" fontId="16" fillId="0" borderId="13" xfId="78" applyFont="1" applyBorder="1"/>
    <xf numFmtId="0" fontId="16" fillId="0" borderId="29" xfId="68" applyFont="1" applyBorder="1" applyAlignment="1">
      <alignment horizontal="center" vertical="center" wrapText="1"/>
    </xf>
    <xf numFmtId="176" fontId="16" fillId="0" borderId="29" xfId="67" applyFont="1" applyBorder="1" applyAlignment="1">
      <alignment horizontal="left" vertical="center" wrapText="1"/>
    </xf>
    <xf numFmtId="0" fontId="28" fillId="0" borderId="30" xfId="78" applyFont="1" applyBorder="1" applyAlignment="1">
      <alignment horizontal="center" vertical="center" wrapText="1"/>
    </xf>
    <xf numFmtId="176" fontId="16" fillId="0" borderId="29" xfId="78" applyNumberFormat="1" applyFont="1" applyBorder="1" applyAlignment="1">
      <alignment horizontal="center" vertical="center" wrapText="1"/>
    </xf>
    <xf numFmtId="187" fontId="28" fillId="0" borderId="30" xfId="78" applyNumberFormat="1" applyFont="1" applyBorder="1" applyAlignment="1">
      <alignment horizontal="center" vertical="center" wrapText="1"/>
    </xf>
    <xf numFmtId="0" fontId="24" fillId="0" borderId="29" xfId="68" applyFont="1" applyBorder="1" applyAlignment="1">
      <alignment horizontal="center" vertical="center" wrapText="1"/>
    </xf>
    <xf numFmtId="0" fontId="16" fillId="0" borderId="29" xfId="78" applyFont="1" applyBorder="1"/>
    <xf numFmtId="184" fontId="13" fillId="0" borderId="0" xfId="78" applyNumberFormat="1" applyFont="1"/>
    <xf numFmtId="0" fontId="28" fillId="0" borderId="13" xfId="78" applyFont="1" applyBorder="1" applyAlignment="1">
      <alignment horizontal="center" vertical="center" wrapText="1"/>
    </xf>
    <xf numFmtId="187" fontId="28" fillId="0" borderId="13" xfId="78" applyNumberFormat="1" applyFont="1" applyBorder="1" applyAlignment="1">
      <alignment horizontal="center" vertical="center" wrapText="1"/>
    </xf>
    <xf numFmtId="0" fontId="16" fillId="0" borderId="31" xfId="68" applyFont="1" applyBorder="1" applyAlignment="1">
      <alignment horizontal="center" vertical="center" wrapText="1"/>
    </xf>
    <xf numFmtId="176" fontId="16" fillId="0" borderId="31" xfId="67" applyFont="1" applyBorder="1" applyAlignment="1">
      <alignment horizontal="left" vertical="center" wrapText="1"/>
    </xf>
    <xf numFmtId="0" fontId="28" fillId="0" borderId="32" xfId="78" applyFont="1" applyBorder="1" applyAlignment="1">
      <alignment horizontal="center" vertical="center" wrapText="1"/>
    </xf>
    <xf numFmtId="176" fontId="16" fillId="0" borderId="31" xfId="78" applyNumberFormat="1" applyFont="1" applyBorder="1" applyAlignment="1">
      <alignment horizontal="center" vertical="center" wrapText="1"/>
    </xf>
    <xf numFmtId="187" fontId="28" fillId="0" borderId="32" xfId="78" applyNumberFormat="1" applyFont="1" applyBorder="1" applyAlignment="1">
      <alignment horizontal="center" vertical="center" wrapText="1"/>
    </xf>
    <xf numFmtId="0" fontId="24" fillId="0" borderId="31" xfId="68" applyFont="1" applyBorder="1" applyAlignment="1">
      <alignment horizontal="center" vertical="center" wrapText="1"/>
    </xf>
    <xf numFmtId="0" fontId="16" fillId="0" borderId="31" xfId="78" applyFont="1" applyBorder="1"/>
    <xf numFmtId="176" fontId="22" fillId="0" borderId="13" xfId="0" applyFont="1" applyBorder="1" applyAlignment="1">
      <alignment vertical="center" wrapText="1"/>
    </xf>
    <xf numFmtId="176" fontId="0" fillId="0" borderId="13" xfId="0" applyBorder="1" applyAlignment="1">
      <alignment vertical="center"/>
    </xf>
    <xf numFmtId="176" fontId="0" fillId="0" borderId="0" xfId="0" applyAlignment="1">
      <alignment vertical="center"/>
    </xf>
    <xf numFmtId="176" fontId="14" fillId="0" borderId="0" xfId="0" applyFont="1" applyAlignment="1">
      <alignment vertical="center"/>
    </xf>
    <xf numFmtId="49" fontId="26" fillId="0" borderId="0" xfId="0" applyNumberFormat="1" applyFont="1" applyAlignment="1">
      <alignment horizontal="center" vertical="center" wrapText="1"/>
    </xf>
    <xf numFmtId="49" fontId="15" fillId="10" borderId="13" xfId="0" applyNumberFormat="1" applyFont="1" applyFill="1" applyBorder="1" applyAlignment="1">
      <alignment horizontal="center" vertical="center" wrapText="1"/>
    </xf>
    <xf numFmtId="179" fontId="22" fillId="0" borderId="13" xfId="0" applyNumberFormat="1" applyFont="1" applyBorder="1" applyAlignment="1">
      <alignment horizontal="center" vertical="center"/>
    </xf>
    <xf numFmtId="176" fontId="23" fillId="0" borderId="13" xfId="0" applyFont="1" applyBorder="1" applyAlignment="1">
      <alignment vertical="center"/>
    </xf>
    <xf numFmtId="176" fontId="26" fillId="0" borderId="0" xfId="0" applyFont="1" applyAlignment="1">
      <alignment vertical="center"/>
    </xf>
    <xf numFmtId="0" fontId="22" fillId="0" borderId="13" xfId="0" applyNumberFormat="1" applyFont="1" applyBorder="1" applyAlignment="1">
      <alignment vertical="center" wrapText="1"/>
    </xf>
    <xf numFmtId="176" fontId="0" fillId="0" borderId="15" xfId="0" applyBorder="1" applyAlignment="1">
      <alignment horizontal="center" vertical="center" wrapText="1"/>
    </xf>
    <xf numFmtId="176" fontId="47" fillId="0" borderId="13" xfId="0" applyFont="1" applyBorder="1" applyAlignment="1">
      <alignment horizontal="center" vertical="center" wrapText="1"/>
    </xf>
    <xf numFmtId="176" fontId="24" fillId="0" borderId="16" xfId="0" applyFont="1" applyBorder="1" applyAlignment="1">
      <alignment horizontal="center" vertical="center"/>
    </xf>
    <xf numFmtId="176" fontId="22" fillId="5" borderId="13" xfId="0" applyFont="1" applyFill="1" applyBorder="1" applyAlignment="1">
      <alignment vertical="center" wrapText="1"/>
    </xf>
    <xf numFmtId="0" fontId="20" fillId="5" borderId="28" xfId="0" applyNumberFormat="1" applyFont="1" applyFill="1" applyBorder="1" applyAlignment="1">
      <alignment horizontal="center" vertical="center" wrapText="1"/>
    </xf>
    <xf numFmtId="176" fontId="22" fillId="0" borderId="29" xfId="0" applyFont="1" applyBorder="1" applyAlignment="1">
      <alignment vertical="center"/>
    </xf>
    <xf numFmtId="176" fontId="22" fillId="0" borderId="29" xfId="0" applyFont="1" applyBorder="1" applyAlignment="1">
      <alignment horizontal="center" vertical="center" wrapText="1"/>
    </xf>
    <xf numFmtId="0" fontId="20" fillId="5" borderId="30" xfId="0" applyNumberFormat="1" applyFont="1" applyFill="1" applyBorder="1" applyAlignment="1">
      <alignment horizontal="center" vertical="center" wrapText="1"/>
    </xf>
    <xf numFmtId="0" fontId="22" fillId="0" borderId="29" xfId="0" applyNumberFormat="1" applyFont="1" applyBorder="1" applyAlignment="1">
      <alignment horizontal="center" vertical="center"/>
    </xf>
    <xf numFmtId="176" fontId="0" fillId="0" borderId="29" xfId="0" applyBorder="1" applyAlignment="1">
      <alignment horizontal="center" vertical="center" wrapText="1"/>
    </xf>
    <xf numFmtId="176" fontId="24" fillId="0" borderId="29" xfId="0" applyFont="1" applyBorder="1" applyAlignment="1">
      <alignment horizontal="center" vertical="center"/>
    </xf>
    <xf numFmtId="176" fontId="0" fillId="0" borderId="29" xfId="0" applyBorder="1" applyAlignment="1">
      <alignment horizontal="center" vertical="center"/>
    </xf>
    <xf numFmtId="0" fontId="16" fillId="0" borderId="0" xfId="70" applyFont="1"/>
    <xf numFmtId="176" fontId="48" fillId="0" borderId="0" xfId="80" applyFont="1"/>
    <xf numFmtId="0" fontId="49" fillId="0" borderId="0" xfId="70" applyFont="1"/>
    <xf numFmtId="0" fontId="50" fillId="0" borderId="0" xfId="70" applyFont="1"/>
    <xf numFmtId="0" fontId="51" fillId="0" borderId="0" xfId="70" applyFont="1"/>
    <xf numFmtId="0" fontId="25" fillId="0" borderId="0" xfId="70" applyFont="1"/>
    <xf numFmtId="0" fontId="52" fillId="0" borderId="0" xfId="70" applyFont="1"/>
    <xf numFmtId="0" fontId="53" fillId="0" borderId="0" xfId="70" applyFont="1"/>
    <xf numFmtId="176" fontId="53" fillId="0" borderId="0" xfId="80" applyFont="1"/>
    <xf numFmtId="176" fontId="54" fillId="0" borderId="0" xfId="80" applyFont="1"/>
    <xf numFmtId="0" fontId="55" fillId="0" borderId="0" xfId="70" applyFont="1"/>
  </cellXfs>
  <cellStyles count="10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2 2" xfId="62"/>
    <cellStyle name="60% - 着色 3 2" xfId="63"/>
    <cellStyle name="60% - 着色 4 2" xfId="64"/>
    <cellStyle name="60% - 着色 5 2" xfId="65"/>
    <cellStyle name="60% - 着色 6 2" xfId="66"/>
    <cellStyle name="Normal 2" xfId="67"/>
    <cellStyle name="Normal 2 2" xfId="68"/>
    <cellStyle name="Normal 3" xfId="69"/>
    <cellStyle name="Normal 3 2" xfId="70"/>
    <cellStyle name="Normal 3 3" xfId="71"/>
    <cellStyle name="Normal 4" xfId="72"/>
    <cellStyle name="Normal 4 2" xfId="73"/>
    <cellStyle name="Note 2" xfId="74"/>
    <cellStyle name="好 2" xfId="75"/>
    <cellStyle name="差 2" xfId="76"/>
    <cellStyle name="常规 2" xfId="77"/>
    <cellStyle name="常规 3" xfId="78"/>
    <cellStyle name="常规 4" xfId="79"/>
    <cellStyle name="常规_Aug._2011_CPL(第一版)" xfId="80"/>
    <cellStyle name="标题 1 2" xfId="81"/>
    <cellStyle name="标题 2 2" xfId="82"/>
    <cellStyle name="标题 3 2" xfId="83"/>
    <cellStyle name="标题 4 2" xfId="84"/>
    <cellStyle name="标题 5" xfId="85"/>
    <cellStyle name="检查单元格 2" xfId="86"/>
    <cellStyle name="汇总 2" xfId="87"/>
    <cellStyle name="着色 1 2" xfId="88"/>
    <cellStyle name="着色 2 2" xfId="89"/>
    <cellStyle name="着色 3 2" xfId="90"/>
    <cellStyle name="着色 4 2" xfId="91"/>
    <cellStyle name="着色 5 2" xfId="92"/>
    <cellStyle name="着色 6 2" xfId="93"/>
    <cellStyle name="解释性文本 2" xfId="94"/>
    <cellStyle name="警告文本 2" xfId="95"/>
    <cellStyle name="计算 2" xfId="96"/>
    <cellStyle name="输入 2" xfId="97"/>
    <cellStyle name="输出 2" xfId="98"/>
    <cellStyle name="适中 2" xfId="99"/>
    <cellStyle name="链接单元格 2" xfId="10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name val="Arial"/>
        <scheme val="none"/>
        <strike val="0"/>
        <sz val="10"/>
        <color rgb="FF00000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fill>
        <patternFill patternType="solid">
          <bgColor theme="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179" formatCode="0_ 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176" formatCode="[$¥-804]#,##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9" defaultPivotStyle="PivotStyleLight16">
    <tableStyle name="Invisible" pivot="0" table="0" count="0" xr9:uid="{01FE3C0F-C1B7-4497-A5C0-7478673D0F4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I:\Data CPL-(Q2 Apr 2026 EN)_&#32456;&#31295;_&#24050;&#35843;&#20215;0409&#21457;&#24067;_&#21512;&#2418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 Data"/>
    </sheetNames>
    <sheetDataSet>
      <sheetData sheetId="0">
        <row r="1">
          <cell r="C1" t="str">
            <v>Model No</v>
          </cell>
        </row>
        <row r="1">
          <cell r="H1" t="str">
            <v>List Price</v>
          </cell>
        </row>
        <row r="2">
          <cell r="C2" t="str">
            <v>OS9907-CHAS</v>
          </cell>
        </row>
        <row r="2">
          <cell r="H2">
            <v>342833</v>
          </cell>
        </row>
        <row r="3">
          <cell r="C3" t="str">
            <v>OS9907-CB2-D</v>
          </cell>
        </row>
        <row r="3">
          <cell r="H3">
            <v>1207355</v>
          </cell>
        </row>
        <row r="4">
          <cell r="C4" t="str">
            <v>OS9907-CB2</v>
          </cell>
        </row>
        <row r="4">
          <cell r="H4">
            <v>1207355</v>
          </cell>
        </row>
        <row r="5">
          <cell r="C5" t="str">
            <v>OS9907-RCB2-D</v>
          </cell>
        </row>
        <row r="5">
          <cell r="H5">
            <v>2035338</v>
          </cell>
        </row>
        <row r="6">
          <cell r="C6" t="str">
            <v>OS9907-RCB2</v>
          </cell>
        </row>
        <row r="6">
          <cell r="H6">
            <v>2035338</v>
          </cell>
        </row>
        <row r="7">
          <cell r="C7" t="str">
            <v>OS9912-CHAS</v>
          </cell>
        </row>
        <row r="7">
          <cell r="H7">
            <v>778596</v>
          </cell>
        </row>
        <row r="8">
          <cell r="C8" t="str">
            <v>OS9912-CB</v>
          </cell>
        </row>
        <row r="8">
          <cell r="H8">
            <v>1921374</v>
          </cell>
        </row>
        <row r="9">
          <cell r="C9" t="str">
            <v>OS9912-CB-D</v>
          </cell>
        </row>
        <row r="9">
          <cell r="H9">
            <v>1921374</v>
          </cell>
        </row>
        <row r="10">
          <cell r="C10" t="str">
            <v>OS9912-RCB</v>
          </cell>
        </row>
        <row r="10">
          <cell r="H10">
            <v>3204802</v>
          </cell>
        </row>
        <row r="11">
          <cell r="C11" t="str">
            <v>OS9912-RCB-D</v>
          </cell>
        </row>
        <row r="11">
          <cell r="H11">
            <v>3204802</v>
          </cell>
        </row>
        <row r="12">
          <cell r="C12" t="str">
            <v>OS99-CMM2</v>
          </cell>
        </row>
        <row r="12">
          <cell r="H12">
            <v>475948</v>
          </cell>
        </row>
        <row r="13">
          <cell r="C13" t="str">
            <v>OS99-CNI-U8</v>
          </cell>
        </row>
        <row r="13">
          <cell r="H13">
            <v>954408</v>
          </cell>
        </row>
        <row r="14">
          <cell r="C14" t="str">
            <v>OS99-GNI-48</v>
          </cell>
        </row>
        <row r="14">
          <cell r="H14">
            <v>237346</v>
          </cell>
        </row>
        <row r="15">
          <cell r="C15" t="str">
            <v>OS99-GNI-P48</v>
          </cell>
        </row>
        <row r="15">
          <cell r="H15">
            <v>263718</v>
          </cell>
        </row>
        <row r="16">
          <cell r="C16" t="str">
            <v>OS99-GNI-U48</v>
          </cell>
        </row>
        <row r="16">
          <cell r="H16">
            <v>552552</v>
          </cell>
        </row>
        <row r="17">
          <cell r="C17" t="str">
            <v>OS99-XNI-48</v>
          </cell>
        </row>
        <row r="17">
          <cell r="H17">
            <v>1002128</v>
          </cell>
        </row>
        <row r="18">
          <cell r="C18" t="str">
            <v>OS99-XNI-P48Z16</v>
          </cell>
        </row>
        <row r="18">
          <cell r="H18">
            <v>1105104</v>
          </cell>
        </row>
        <row r="19">
          <cell r="C19" t="str">
            <v>OS99-XNI-U48</v>
          </cell>
        </row>
        <row r="19">
          <cell r="H19">
            <v>1054872</v>
          </cell>
        </row>
        <row r="20">
          <cell r="C20" t="str">
            <v>OS9912-CFM</v>
          </cell>
        </row>
        <row r="20">
          <cell r="H20">
            <v>1029756</v>
          </cell>
        </row>
        <row r="21">
          <cell r="C21" t="str">
            <v>OS9907-CFM2</v>
          </cell>
        </row>
        <row r="21">
          <cell r="H21">
            <v>577668</v>
          </cell>
        </row>
        <row r="22">
          <cell r="C22" t="str">
            <v>OS99-CNI-U20</v>
          </cell>
        </row>
        <row r="22">
          <cell r="H22">
            <v>1205568</v>
          </cell>
        </row>
        <row r="23">
          <cell r="C23" t="str">
            <v>OS99-XNI-UP24Q2</v>
          </cell>
        </row>
        <row r="23">
          <cell r="H23">
            <v>806726</v>
          </cell>
        </row>
        <row r="24">
          <cell r="C24" t="str">
            <v>OS99-XNI-U24</v>
          </cell>
        </row>
        <row r="24">
          <cell r="H24">
            <v>685667</v>
          </cell>
        </row>
        <row r="25">
          <cell r="C25" t="str">
            <v>OS99-XNI-P24Z8</v>
          </cell>
        </row>
        <row r="25">
          <cell r="H25">
            <v>718318</v>
          </cell>
        </row>
        <row r="26">
          <cell r="C26" t="str">
            <v>OS99-PS-A</v>
          </cell>
        </row>
        <row r="26">
          <cell r="H26">
            <v>131859</v>
          </cell>
        </row>
        <row r="27">
          <cell r="C27" t="str">
            <v>OS99-PS-D</v>
          </cell>
        </row>
        <row r="27">
          <cell r="H27">
            <v>184603</v>
          </cell>
        </row>
        <row r="28">
          <cell r="C28" t="str">
            <v>OS9907-FAN-TRAY</v>
          </cell>
        </row>
        <row r="28">
          <cell r="H28">
            <v>26372</v>
          </cell>
        </row>
        <row r="29">
          <cell r="C29" t="str">
            <v>OS9912-FAN-TRAY</v>
          </cell>
        </row>
        <row r="29">
          <cell r="H29">
            <v>67596</v>
          </cell>
        </row>
        <row r="30">
          <cell r="C30" t="str">
            <v>OS-SW-MACSEC</v>
          </cell>
        </row>
        <row r="30">
          <cell r="H30">
            <v>0</v>
          </cell>
        </row>
        <row r="31">
          <cell r="C31" t="str">
            <v>PWM1-OS9907</v>
          </cell>
        </row>
        <row r="31">
          <cell r="H31">
            <v>3826.9</v>
          </cell>
        </row>
        <row r="32">
          <cell r="C32" t="str">
            <v>PW1N-OS9907</v>
          </cell>
        </row>
        <row r="32">
          <cell r="H32">
            <v>45920</v>
          </cell>
        </row>
        <row r="33">
          <cell r="C33" t="str">
            <v>PW2N-OS9907</v>
          </cell>
        </row>
        <row r="33">
          <cell r="H33">
            <v>86338</v>
          </cell>
        </row>
        <row r="34">
          <cell r="C34" t="str">
            <v>PW3N-OS9907</v>
          </cell>
        </row>
        <row r="34">
          <cell r="H34">
            <v>125370</v>
          </cell>
        </row>
        <row r="35">
          <cell r="C35" t="str">
            <v>PW5N-OS9907</v>
          </cell>
        </row>
        <row r="35">
          <cell r="H35">
            <v>195174</v>
          </cell>
        </row>
        <row r="36">
          <cell r="C36" t="str">
            <v>PW8N-OS9907</v>
          </cell>
        </row>
        <row r="36">
          <cell r="H36" t="str">
            <v>Per Quote</v>
          </cell>
        </row>
        <row r="37">
          <cell r="C37" t="str">
            <v>PW10-OS9907</v>
          </cell>
        </row>
        <row r="37">
          <cell r="H37" t="str">
            <v>Per Quote</v>
          </cell>
        </row>
        <row r="38">
          <cell r="C38" t="str">
            <v>PWM1-OS9912</v>
          </cell>
        </row>
        <row r="38">
          <cell r="H38">
            <v>5566.4</v>
          </cell>
        </row>
        <row r="39">
          <cell r="C39" t="str">
            <v>PW1N-OS9912</v>
          </cell>
        </row>
        <row r="39">
          <cell r="H39">
            <v>66794</v>
          </cell>
        </row>
        <row r="40">
          <cell r="C40" t="str">
            <v>PW2N-OS9912</v>
          </cell>
        </row>
        <row r="40">
          <cell r="H40">
            <v>125580</v>
          </cell>
        </row>
        <row r="41">
          <cell r="C41" t="str">
            <v>PW3N-OS9912</v>
          </cell>
        </row>
        <row r="41">
          <cell r="H41">
            <v>182350</v>
          </cell>
        </row>
        <row r="42">
          <cell r="C42" t="str">
            <v>PW5N-OS9912</v>
          </cell>
        </row>
        <row r="42">
          <cell r="H42">
            <v>283892</v>
          </cell>
        </row>
        <row r="43">
          <cell r="C43" t="str">
            <v>PW8N-OS9912</v>
          </cell>
        </row>
        <row r="43">
          <cell r="H43" t="str">
            <v>Per Quote</v>
          </cell>
        </row>
        <row r="44">
          <cell r="C44" t="str">
            <v>PW10-OS9912</v>
          </cell>
        </row>
        <row r="44">
          <cell r="H44" t="str">
            <v>Per Quote</v>
          </cell>
        </row>
        <row r="45">
          <cell r="C45" t="str">
            <v>PPM1-OS9907</v>
          </cell>
        </row>
        <row r="45">
          <cell r="H45">
            <v>6378.12</v>
          </cell>
        </row>
        <row r="46">
          <cell r="C46" t="str">
            <v>PP1N-OS9907</v>
          </cell>
        </row>
        <row r="46">
          <cell r="H46">
            <v>76538</v>
          </cell>
        </row>
        <row r="47">
          <cell r="C47" t="str">
            <v>PP2N-OS9907</v>
          </cell>
        </row>
        <row r="47">
          <cell r="H47">
            <v>143892</v>
          </cell>
        </row>
        <row r="48">
          <cell r="C48" t="str">
            <v>PP3N-OS9907</v>
          </cell>
        </row>
        <row r="48">
          <cell r="H48">
            <v>208950</v>
          </cell>
        </row>
        <row r="49">
          <cell r="C49" t="str">
            <v>PP5N-OS9907</v>
          </cell>
        </row>
        <row r="49">
          <cell r="H49">
            <v>325290</v>
          </cell>
        </row>
        <row r="50">
          <cell r="C50" t="str">
            <v>PP8N-OS9907</v>
          </cell>
        </row>
        <row r="50">
          <cell r="H50" t="str">
            <v>Per Quote</v>
          </cell>
        </row>
        <row r="51">
          <cell r="C51" t="str">
            <v>PP10-OS9907</v>
          </cell>
        </row>
        <row r="51">
          <cell r="H51" t="str">
            <v>Per Quote</v>
          </cell>
        </row>
        <row r="52">
          <cell r="C52" t="str">
            <v>PPM1-OS9912</v>
          </cell>
        </row>
        <row r="52">
          <cell r="H52">
            <v>9277.38</v>
          </cell>
        </row>
        <row r="53">
          <cell r="C53" t="str">
            <v>PP1N-OS9912</v>
          </cell>
        </row>
        <row r="53">
          <cell r="H53">
            <v>111328</v>
          </cell>
        </row>
        <row r="54">
          <cell r="C54" t="str">
            <v>PP2N-OS9912</v>
          </cell>
        </row>
        <row r="54">
          <cell r="H54">
            <v>209300</v>
          </cell>
        </row>
        <row r="55">
          <cell r="C55" t="str">
            <v>PP3N-OS9912</v>
          </cell>
        </row>
        <row r="55">
          <cell r="H55">
            <v>303926</v>
          </cell>
        </row>
        <row r="56">
          <cell r="C56" t="str">
            <v>PP5N-OS9912</v>
          </cell>
        </row>
        <row r="56">
          <cell r="H56">
            <v>473144</v>
          </cell>
        </row>
        <row r="57">
          <cell r="C57" t="str">
            <v>PP8N-OS9912</v>
          </cell>
        </row>
        <row r="57">
          <cell r="H57" t="str">
            <v>Per Quote</v>
          </cell>
        </row>
        <row r="58">
          <cell r="C58" t="str">
            <v>PP10-OS9912</v>
          </cell>
        </row>
        <row r="58">
          <cell r="H58" t="str">
            <v>Per Quote</v>
          </cell>
        </row>
        <row r="59">
          <cell r="C59" t="str">
            <v>OS9503-CHAS</v>
          </cell>
        </row>
        <row r="59">
          <cell r="H59">
            <v>104650</v>
          </cell>
        </row>
        <row r="60">
          <cell r="C60" t="str">
            <v>OS9503-PS-A</v>
          </cell>
        </row>
        <row r="60">
          <cell r="H60">
            <v>22750</v>
          </cell>
        </row>
        <row r="61">
          <cell r="C61" t="str">
            <v>OS9503-PS-D</v>
          </cell>
        </row>
        <row r="61">
          <cell r="H61">
            <v>25116</v>
          </cell>
        </row>
        <row r="62">
          <cell r="C62" t="str">
            <v>OS95-CMM-U24X8</v>
          </cell>
        </row>
        <row r="62">
          <cell r="H62">
            <v>235638</v>
          </cell>
        </row>
        <row r="63">
          <cell r="C63" t="str">
            <v>OS95-CMM-24X8</v>
          </cell>
        </row>
        <row r="63">
          <cell r="H63">
            <v>242502</v>
          </cell>
        </row>
        <row r="64">
          <cell r="C64" t="str">
            <v>OS9506-CHAS</v>
          </cell>
        </row>
        <row r="64">
          <cell r="H64">
            <v>140556</v>
          </cell>
        </row>
        <row r="65">
          <cell r="C65" t="str">
            <v>OS9506-PS-A</v>
          </cell>
        </row>
        <row r="65">
          <cell r="H65">
            <v>29328</v>
          </cell>
        </row>
        <row r="66">
          <cell r="C66" t="str">
            <v>OS9506-PS-D</v>
          </cell>
        </row>
        <row r="66">
          <cell r="H66">
            <v>35906</v>
          </cell>
        </row>
        <row r="67">
          <cell r="C67" t="str">
            <v>OS9506-CMM-I</v>
          </cell>
        </row>
        <row r="67">
          <cell r="H67">
            <v>169260</v>
          </cell>
        </row>
        <row r="68">
          <cell r="C68" t="str">
            <v>OS9506-CMM-II</v>
          </cell>
        </row>
        <row r="68">
          <cell r="H68">
            <v>430560</v>
          </cell>
        </row>
        <row r="69">
          <cell r="C69" t="str">
            <v>OS95-GNI-U24X8</v>
          </cell>
        </row>
        <row r="69">
          <cell r="H69">
            <v>235638</v>
          </cell>
        </row>
        <row r="70">
          <cell r="C70" t="str">
            <v>OS95-GNI-24X8</v>
          </cell>
        </row>
        <row r="70">
          <cell r="H70">
            <v>242502</v>
          </cell>
        </row>
        <row r="71">
          <cell r="C71" t="str">
            <v>OS95-GNI-24U24</v>
          </cell>
        </row>
        <row r="71">
          <cell r="H71">
            <v>230828</v>
          </cell>
        </row>
        <row r="72">
          <cell r="C72" t="str">
            <v>OS95-GNI-48</v>
          </cell>
        </row>
        <row r="72">
          <cell r="H72">
            <v>239200</v>
          </cell>
        </row>
        <row r="73">
          <cell r="C73" t="str">
            <v>OS95-GNI-U48</v>
          </cell>
        </row>
        <row r="73">
          <cell r="H73">
            <v>225758</v>
          </cell>
        </row>
        <row r="74">
          <cell r="C74" t="str">
            <v>OS95-XNI-U16</v>
          </cell>
        </row>
        <row r="74">
          <cell r="H74">
            <v>398580</v>
          </cell>
        </row>
        <row r="75">
          <cell r="C75" t="str">
            <v>OS95-QNI-U4</v>
          </cell>
        </row>
        <row r="75">
          <cell r="H75">
            <v>650000</v>
          </cell>
        </row>
        <row r="76">
          <cell r="C76" t="str">
            <v>OS95-FanTray-I </v>
          </cell>
        </row>
        <row r="76">
          <cell r="H76">
            <v>91000</v>
          </cell>
        </row>
        <row r="77">
          <cell r="C77" t="str">
            <v>OS9503-CHAS</v>
          </cell>
        </row>
        <row r="77">
          <cell r="H77">
            <v>104650</v>
          </cell>
        </row>
        <row r="78">
          <cell r="C78" t="str">
            <v>OS9503-PS-A</v>
          </cell>
        </row>
        <row r="78">
          <cell r="H78">
            <v>22750</v>
          </cell>
        </row>
        <row r="79">
          <cell r="C79" t="str">
            <v>OS9503-PS-D</v>
          </cell>
        </row>
        <row r="79">
          <cell r="H79">
            <v>25116</v>
          </cell>
        </row>
        <row r="80">
          <cell r="C80" t="str">
            <v>OS9506-CHAS</v>
          </cell>
        </row>
        <row r="80">
          <cell r="H80">
            <v>140556</v>
          </cell>
        </row>
        <row r="81">
          <cell r="C81" t="str">
            <v>OS9506-PS-A</v>
          </cell>
        </row>
        <row r="81">
          <cell r="H81">
            <v>29328</v>
          </cell>
        </row>
        <row r="82">
          <cell r="C82" t="str">
            <v>OS9506-PS-D</v>
          </cell>
        </row>
        <row r="82">
          <cell r="H82">
            <v>35906</v>
          </cell>
        </row>
        <row r="83">
          <cell r="C83" t="str">
            <v>OS95-FanTray-I </v>
          </cell>
        </row>
        <row r="83">
          <cell r="H83">
            <v>91000</v>
          </cell>
        </row>
        <row r="84">
          <cell r="C84" t="str">
            <v>OS95-ONI-U16</v>
          </cell>
        </row>
        <row r="84">
          <cell r="H84">
            <v>529000</v>
          </cell>
        </row>
        <row r="85">
          <cell r="C85" t="str">
            <v>OS95-ON-GSFP-C</v>
          </cell>
        </row>
        <row r="85">
          <cell r="H85">
            <v>5060</v>
          </cell>
        </row>
        <row r="86">
          <cell r="C86" t="str">
            <v>OS95-ONT-GST</v>
          </cell>
        </row>
        <row r="86">
          <cell r="H86">
            <v>9200</v>
          </cell>
        </row>
        <row r="87">
          <cell r="C87" t="str">
            <v>OS95-ONT-8G8V</v>
          </cell>
        </row>
        <row r="87">
          <cell r="H87">
            <v>31050</v>
          </cell>
        </row>
        <row r="88">
          <cell r="C88" t="str">
            <v>OS95-ONT-4P2V</v>
          </cell>
        </row>
        <row r="88">
          <cell r="H88">
            <v>22540</v>
          </cell>
        </row>
        <row r="89">
          <cell r="C89" t="str">
            <v>OS-ONT-250XP</v>
          </cell>
        </row>
        <row r="89">
          <cell r="H89">
            <v>24955</v>
          </cell>
        </row>
        <row r="90">
          <cell r="C90" t="str">
            <v>OS-ONT-490X</v>
          </cell>
        </row>
        <row r="90">
          <cell r="H90">
            <v>18055</v>
          </cell>
        </row>
        <row r="91">
          <cell r="C91" t="str">
            <v>OS-ONT-490XP</v>
          </cell>
        </row>
        <row r="91">
          <cell r="H91">
            <v>33396</v>
          </cell>
        </row>
        <row r="92">
          <cell r="C92" t="str">
            <v>OS-ONT-UPC-SFP</v>
          </cell>
        </row>
        <row r="92">
          <cell r="H92">
            <v>1564</v>
          </cell>
        </row>
        <row r="93">
          <cell r="C93" t="str">
            <v>OS-ONT-UPC-XGS</v>
          </cell>
        </row>
        <row r="93">
          <cell r="H93">
            <v>5290</v>
          </cell>
        </row>
        <row r="94">
          <cell r="C94" t="str">
            <v>OS-SPL-1U4P</v>
          </cell>
        </row>
        <row r="94">
          <cell r="H94">
            <v>2208</v>
          </cell>
        </row>
        <row r="95">
          <cell r="C95" t="str">
            <v>OS-SPL-1U8P</v>
          </cell>
        </row>
        <row r="95">
          <cell r="H95">
            <v>3956</v>
          </cell>
        </row>
        <row r="96">
          <cell r="C96" t="str">
            <v>OS-SPL-1U16P</v>
          </cell>
        </row>
        <row r="96">
          <cell r="H96">
            <v>7337</v>
          </cell>
        </row>
        <row r="97">
          <cell r="C97" t="str">
            <v>OS-SPL-2U8P</v>
          </cell>
        </row>
        <row r="97">
          <cell r="H97">
            <v>7061</v>
          </cell>
        </row>
        <row r="98">
          <cell r="C98" t="str">
            <v>OS-SPL-2U16P</v>
          </cell>
        </row>
        <row r="98">
          <cell r="H98">
            <v>13616</v>
          </cell>
        </row>
        <row r="99">
          <cell r="C99" t="str">
            <v>OS-SPL-1U8PR</v>
          </cell>
        </row>
        <row r="99">
          <cell r="H99">
            <v>4876</v>
          </cell>
        </row>
        <row r="100">
          <cell r="C100" t="str">
            <v>OS-SPL-1U16PR</v>
          </cell>
        </row>
        <row r="100">
          <cell r="H100">
            <v>6601</v>
          </cell>
        </row>
        <row r="101">
          <cell r="C101" t="str">
            <v>OS-SPL-1U32PR</v>
          </cell>
        </row>
        <row r="101">
          <cell r="H101">
            <v>8993</v>
          </cell>
        </row>
        <row r="102">
          <cell r="C102" t="str">
            <v>OS-SPL-2U8PR</v>
          </cell>
        </row>
        <row r="102">
          <cell r="H102">
            <v>5980</v>
          </cell>
        </row>
        <row r="103">
          <cell r="C103" t="str">
            <v>OS-SPL-2U16PR</v>
          </cell>
        </row>
        <row r="103">
          <cell r="H103">
            <v>8050</v>
          </cell>
        </row>
        <row r="104">
          <cell r="C104" t="str">
            <v>OS-SPL-2U32PR</v>
          </cell>
        </row>
        <row r="104">
          <cell r="H104">
            <v>11776</v>
          </cell>
        </row>
        <row r="105">
          <cell r="C105" t="str">
            <v>OS6920-D32-F</v>
          </cell>
        </row>
        <row r="105">
          <cell r="H105">
            <v>1581687</v>
          </cell>
        </row>
        <row r="106">
          <cell r="C106" t="str">
            <v>OS6920-D32-R</v>
          </cell>
        </row>
        <row r="106">
          <cell r="H106">
            <v>1581687</v>
          </cell>
        </row>
        <row r="107">
          <cell r="C107" t="str">
            <v>OS6920-D32D-F</v>
          </cell>
        </row>
        <row r="107">
          <cell r="H107">
            <v>1581687</v>
          </cell>
        </row>
        <row r="108">
          <cell r="C108" t="str">
            <v>OS6920-D32D-R</v>
          </cell>
        </row>
        <row r="108">
          <cell r="H108">
            <v>1581687</v>
          </cell>
        </row>
        <row r="109">
          <cell r="C109" t="str">
            <v>OS6920-BP-FUK</v>
          </cell>
        </row>
        <row r="109">
          <cell r="H109">
            <v>28877</v>
          </cell>
        </row>
        <row r="110">
          <cell r="C110" t="str">
            <v>OS6920-BP-F</v>
          </cell>
        </row>
        <row r="110">
          <cell r="H110">
            <v>28877</v>
          </cell>
        </row>
        <row r="111">
          <cell r="C111" t="str">
            <v>OS6920-BP-R</v>
          </cell>
        </row>
        <row r="111">
          <cell r="H111">
            <v>28877</v>
          </cell>
        </row>
        <row r="112">
          <cell r="C112" t="str">
            <v>OS6920-BPD-F</v>
          </cell>
        </row>
        <row r="112">
          <cell r="H112">
            <v>46955</v>
          </cell>
        </row>
        <row r="113">
          <cell r="C113" t="str">
            <v>OS6920-BPD-R</v>
          </cell>
        </row>
        <row r="113">
          <cell r="H113">
            <v>46955</v>
          </cell>
        </row>
        <row r="114">
          <cell r="C114" t="str">
            <v>OS6920-FTKIT-F</v>
          </cell>
        </row>
        <row r="114">
          <cell r="H114">
            <v>35035</v>
          </cell>
        </row>
        <row r="115">
          <cell r="C115" t="str">
            <v>OS6920-FTKIT-R</v>
          </cell>
        </row>
        <row r="115">
          <cell r="H115">
            <v>35035</v>
          </cell>
        </row>
        <row r="116">
          <cell r="C116" t="str">
            <v>PW1N-OS6920</v>
          </cell>
        </row>
        <row r="116">
          <cell r="H116">
            <v>14392</v>
          </cell>
        </row>
        <row r="117">
          <cell r="C117" t="str">
            <v>PW1X-OS6920</v>
          </cell>
        </row>
        <row r="117">
          <cell r="H117">
            <v>21588</v>
          </cell>
        </row>
        <row r="118">
          <cell r="C118" t="str">
            <v>PW2N-OS6920</v>
          </cell>
        </row>
        <row r="118">
          <cell r="H118">
            <v>27062</v>
          </cell>
        </row>
        <row r="119">
          <cell r="C119" t="str">
            <v>PW3N-OS6920</v>
          </cell>
        </row>
        <row r="119">
          <cell r="H119">
            <v>39298</v>
          </cell>
        </row>
        <row r="120">
          <cell r="C120" t="str">
            <v>PW5N-OS6920</v>
          </cell>
        </row>
        <row r="120">
          <cell r="H120">
            <v>61180</v>
          </cell>
        </row>
        <row r="121">
          <cell r="C121" t="str">
            <v>PP1N-OS6920</v>
          </cell>
        </row>
        <row r="121">
          <cell r="H121">
            <v>28350</v>
          </cell>
        </row>
        <row r="122">
          <cell r="C122" t="str">
            <v>PP2N-OS6920</v>
          </cell>
        </row>
        <row r="122">
          <cell r="H122">
            <v>53284</v>
          </cell>
        </row>
        <row r="123">
          <cell r="C123" t="str">
            <v>PP3N-OS6920</v>
          </cell>
        </row>
        <row r="123">
          <cell r="H123">
            <v>77378</v>
          </cell>
        </row>
        <row r="124">
          <cell r="C124" t="str">
            <v>PP5N-OS6920</v>
          </cell>
        </row>
        <row r="124">
          <cell r="H124">
            <v>120456</v>
          </cell>
        </row>
        <row r="125">
          <cell r="C125" t="str">
            <v>PW8N-OS6920</v>
          </cell>
        </row>
        <row r="125">
          <cell r="H125" t="str">
            <v>Per Quote</v>
          </cell>
        </row>
        <row r="126">
          <cell r="C126" t="str">
            <v>PW10-OS6920</v>
          </cell>
        </row>
        <row r="126">
          <cell r="H126" t="str">
            <v>Per Quote</v>
          </cell>
        </row>
        <row r="127">
          <cell r="C127" t="str">
            <v>PP8N-OS6920</v>
          </cell>
        </row>
        <row r="127">
          <cell r="H127" t="str">
            <v>Per Quote</v>
          </cell>
        </row>
        <row r="128">
          <cell r="C128" t="str">
            <v>PP10-OS6920</v>
          </cell>
        </row>
        <row r="128">
          <cell r="H128" t="str">
            <v>Per Quote</v>
          </cell>
        </row>
        <row r="129">
          <cell r="C129" t="str">
            <v>PWM1-OS6920</v>
          </cell>
        </row>
        <row r="129">
          <cell r="H129">
            <v>1204</v>
          </cell>
        </row>
        <row r="130">
          <cell r="C130" t="str">
            <v>PPM1-OS6920</v>
          </cell>
        </row>
        <row r="130">
          <cell r="H130">
            <v>2366</v>
          </cell>
        </row>
        <row r="131">
          <cell r="C131" t="str">
            <v>OS6900-X24C2-F</v>
          </cell>
        </row>
        <row r="131">
          <cell r="H131">
            <v>351676</v>
          </cell>
        </row>
        <row r="132">
          <cell r="C132" t="str">
            <v>OS6900-X24C2-R</v>
          </cell>
        </row>
        <row r="132">
          <cell r="H132">
            <v>351676</v>
          </cell>
        </row>
        <row r="133">
          <cell r="C133" t="str">
            <v>OS6900-X24C2D-F</v>
          </cell>
        </row>
        <row r="133">
          <cell r="H133">
            <v>351676</v>
          </cell>
        </row>
        <row r="134">
          <cell r="C134" t="str">
            <v>OS6900-X24C2D-R</v>
          </cell>
        </row>
        <row r="134">
          <cell r="H134">
            <v>351676</v>
          </cell>
        </row>
        <row r="135">
          <cell r="C135" t="str">
            <v>OS6900-T24C2-F</v>
          </cell>
        </row>
        <row r="135">
          <cell r="H135">
            <v>383640</v>
          </cell>
        </row>
        <row r="136">
          <cell r="C136" t="str">
            <v>OS6900-T24C2-R</v>
          </cell>
        </row>
        <row r="136">
          <cell r="H136">
            <v>383640</v>
          </cell>
        </row>
        <row r="137">
          <cell r="C137" t="str">
            <v>OS6900-T24C2D-F</v>
          </cell>
        </row>
        <row r="137">
          <cell r="H137">
            <v>383640</v>
          </cell>
        </row>
        <row r="138">
          <cell r="C138" t="str">
            <v>OS6900-T24C2D-R</v>
          </cell>
        </row>
        <row r="138">
          <cell r="H138">
            <v>383640</v>
          </cell>
        </row>
        <row r="139">
          <cell r="C139" t="str">
            <v>OS6900-X48C6-F</v>
          </cell>
        </row>
        <row r="139">
          <cell r="H139">
            <v>592952</v>
          </cell>
        </row>
        <row r="140">
          <cell r="C140" t="str">
            <v>OS6900-X48C6-R</v>
          </cell>
        </row>
        <row r="140">
          <cell r="H140">
            <v>592952</v>
          </cell>
        </row>
        <row r="141">
          <cell r="C141" t="str">
            <v>OS6900-X48C6D-F</v>
          </cell>
        </row>
        <row r="141">
          <cell r="H141">
            <v>592952</v>
          </cell>
        </row>
        <row r="142">
          <cell r="C142" t="str">
            <v>OS6900-X48C6D-R</v>
          </cell>
        </row>
        <row r="142">
          <cell r="H142">
            <v>592952</v>
          </cell>
        </row>
        <row r="143">
          <cell r="C143" t="str">
            <v>OS6900-X48C4E-F</v>
          </cell>
        </row>
        <row r="143">
          <cell r="H143">
            <v>672750</v>
          </cell>
        </row>
        <row r="144">
          <cell r="C144" t="str">
            <v>OS6900-X48C4E-R</v>
          </cell>
        </row>
        <row r="144">
          <cell r="H144">
            <v>672750</v>
          </cell>
        </row>
        <row r="145">
          <cell r="C145" t="str">
            <v>OS6900-X48C4ED-F</v>
          </cell>
        </row>
        <row r="145">
          <cell r="H145">
            <v>672750</v>
          </cell>
        </row>
        <row r="146">
          <cell r="C146" t="str">
            <v>OS6900-X48C4ED-R</v>
          </cell>
        </row>
        <row r="146">
          <cell r="H146">
            <v>672750</v>
          </cell>
        </row>
        <row r="147">
          <cell r="C147" t="str">
            <v>OS6900-T48C6-F</v>
          </cell>
        </row>
        <row r="147">
          <cell r="H147">
            <v>638543</v>
          </cell>
        </row>
        <row r="148">
          <cell r="C148" t="str">
            <v>OS6900-T48C6-R</v>
          </cell>
        </row>
        <row r="148">
          <cell r="H148">
            <v>638543</v>
          </cell>
        </row>
        <row r="149">
          <cell r="C149" t="str">
            <v>OS6900-T48C6D-F</v>
          </cell>
        </row>
        <row r="149">
          <cell r="H149">
            <v>638543</v>
          </cell>
        </row>
        <row r="150">
          <cell r="C150" t="str">
            <v>OS6900-T48C6D-R</v>
          </cell>
        </row>
        <row r="150">
          <cell r="H150">
            <v>638543</v>
          </cell>
        </row>
        <row r="151">
          <cell r="C151" t="str">
            <v>OS6900-V48C8-F</v>
          </cell>
        </row>
        <row r="151">
          <cell r="H151">
            <v>661348</v>
          </cell>
        </row>
        <row r="152">
          <cell r="C152" t="str">
            <v>OS6900-V48C8-R</v>
          </cell>
        </row>
        <row r="152">
          <cell r="H152">
            <v>661348</v>
          </cell>
        </row>
        <row r="153">
          <cell r="C153" t="str">
            <v>OS6900-V48C8D-F</v>
          </cell>
        </row>
        <row r="153">
          <cell r="H153">
            <v>661348</v>
          </cell>
        </row>
        <row r="154">
          <cell r="C154" t="str">
            <v>OS6900-V48C8D-R</v>
          </cell>
        </row>
        <row r="154">
          <cell r="H154">
            <v>661348</v>
          </cell>
        </row>
        <row r="155">
          <cell r="C155" t="str">
            <v>OS6900-C32E-F</v>
          </cell>
        </row>
        <row r="155">
          <cell r="H155">
            <v>729761</v>
          </cell>
        </row>
        <row r="156">
          <cell r="C156" t="str">
            <v>OS6900-C32E-R</v>
          </cell>
        </row>
        <row r="156">
          <cell r="H156">
            <v>729761</v>
          </cell>
        </row>
        <row r="157">
          <cell r="C157" t="str">
            <v>OS6900-C32ED-F</v>
          </cell>
        </row>
        <row r="157">
          <cell r="H157">
            <v>729761</v>
          </cell>
        </row>
        <row r="158">
          <cell r="C158" t="str">
            <v>OS6900-C32ED-R</v>
          </cell>
        </row>
        <row r="158">
          <cell r="H158">
            <v>729761</v>
          </cell>
        </row>
        <row r="159">
          <cell r="C159" t="str">
            <v>OS6900C-BP-F</v>
          </cell>
        </row>
        <row r="159">
          <cell r="H159">
            <v>22408</v>
          </cell>
        </row>
        <row r="160">
          <cell r="C160" t="str">
            <v>OS6900C-BP-R</v>
          </cell>
        </row>
        <row r="160">
          <cell r="H160">
            <v>22408</v>
          </cell>
        </row>
        <row r="161">
          <cell r="C161" t="str">
            <v>OS6900C-BPD-F</v>
          </cell>
        </row>
        <row r="161">
          <cell r="H161">
            <v>22408</v>
          </cell>
        </row>
        <row r="162">
          <cell r="C162" t="str">
            <v>OS6900C-BPD-R</v>
          </cell>
        </row>
        <row r="162">
          <cell r="H162">
            <v>22408</v>
          </cell>
        </row>
        <row r="163">
          <cell r="C163" t="str">
            <v>OS6900X-BP-F</v>
          </cell>
        </row>
        <row r="163">
          <cell r="H163">
            <v>22408</v>
          </cell>
        </row>
        <row r="164">
          <cell r="C164" t="str">
            <v>OS6900X-BP-R</v>
          </cell>
        </row>
        <row r="164">
          <cell r="H164">
            <v>22408</v>
          </cell>
        </row>
        <row r="165">
          <cell r="C165" t="str">
            <v>OS6900X-BPD-F</v>
          </cell>
        </row>
        <row r="165">
          <cell r="H165">
            <v>22408</v>
          </cell>
        </row>
        <row r="166">
          <cell r="C166" t="str">
            <v>OS6900X-BPD-R</v>
          </cell>
        </row>
        <row r="166">
          <cell r="H166">
            <v>22408</v>
          </cell>
        </row>
        <row r="167">
          <cell r="C167" t="str">
            <v>OS6900-MPLS-1</v>
          </cell>
        </row>
        <row r="167">
          <cell r="H167">
            <v>74434</v>
          </cell>
        </row>
        <row r="168">
          <cell r="C168" t="str">
            <v>OS6900-MPLS-4</v>
          </cell>
        </row>
        <row r="168">
          <cell r="H168">
            <v>186214</v>
          </cell>
        </row>
        <row r="169">
          <cell r="C169" t="str">
            <v>OS6900-SW-AR</v>
          </cell>
        </row>
        <row r="169">
          <cell r="H169">
            <v>37260</v>
          </cell>
        </row>
        <row r="170">
          <cell r="C170" t="str">
            <v>OS6900V-FTKIT-F</v>
          </cell>
        </row>
        <row r="170">
          <cell r="H170">
            <v>23253</v>
          </cell>
        </row>
        <row r="171">
          <cell r="C171" t="str">
            <v>OS6900V-FTKIT-R</v>
          </cell>
        </row>
        <row r="171">
          <cell r="H171">
            <v>23253</v>
          </cell>
        </row>
        <row r="172">
          <cell r="C172" t="str">
            <v>OS6900X-FTKIT-F</v>
          </cell>
        </row>
        <row r="172">
          <cell r="H172">
            <v>23253</v>
          </cell>
        </row>
        <row r="173">
          <cell r="C173" t="str">
            <v>OS6900X-FTKIT-R</v>
          </cell>
        </row>
        <row r="173">
          <cell r="H173">
            <v>23253</v>
          </cell>
        </row>
        <row r="174">
          <cell r="C174" t="str">
            <v>OS6900C-FTKIT-F</v>
          </cell>
        </row>
        <row r="174">
          <cell r="H174">
            <v>23253</v>
          </cell>
        </row>
        <row r="175">
          <cell r="C175" t="str">
            <v>OS6900C-FTKIT-R</v>
          </cell>
        </row>
        <row r="175">
          <cell r="H175">
            <v>23253</v>
          </cell>
        </row>
        <row r="176">
          <cell r="C176" t="str">
            <v>OS6900X-MNT</v>
          </cell>
        </row>
        <row r="176">
          <cell r="H176">
            <v>2329</v>
          </cell>
        </row>
        <row r="177">
          <cell r="C177" t="str">
            <v>OS-DNV-DC-PWR</v>
          </cell>
        </row>
        <row r="177">
          <cell r="H177">
            <v>932</v>
          </cell>
        </row>
        <row r="178">
          <cell r="C178" t="str">
            <v>OS-DNV-ENH-FLTR</v>
          </cell>
        </row>
        <row r="178">
          <cell r="H178">
            <v>8936</v>
          </cell>
        </row>
        <row r="179">
          <cell r="C179" t="str">
            <v>PWM1-OS6900</v>
          </cell>
        </row>
        <row r="179">
          <cell r="H179">
            <v>474</v>
          </cell>
        </row>
        <row r="180">
          <cell r="C180" t="str">
            <v>PW1N-OS6900</v>
          </cell>
        </row>
        <row r="180">
          <cell r="H180">
            <v>5693</v>
          </cell>
        </row>
        <row r="181">
          <cell r="C181" t="str">
            <v>PW2N-OS6900</v>
          </cell>
        </row>
        <row r="181">
          <cell r="H181">
            <v>10695</v>
          </cell>
        </row>
        <row r="182">
          <cell r="C182" t="str">
            <v>PW3N-OS6900</v>
          </cell>
        </row>
        <row r="182">
          <cell r="H182">
            <v>15525</v>
          </cell>
        </row>
        <row r="183">
          <cell r="C183" t="str">
            <v>PW5N-OS6900</v>
          </cell>
        </row>
        <row r="183">
          <cell r="H183">
            <v>24167</v>
          </cell>
        </row>
        <row r="184">
          <cell r="C184" t="str">
            <v>PW8N-OS6900</v>
          </cell>
        </row>
        <row r="184">
          <cell r="H184" t="str">
            <v>Per Quote</v>
          </cell>
        </row>
        <row r="185">
          <cell r="C185" t="str">
            <v>PW10-OS6900</v>
          </cell>
        </row>
        <row r="185">
          <cell r="H185" t="str">
            <v>Per Quote</v>
          </cell>
        </row>
        <row r="186">
          <cell r="C186" t="str">
            <v>PPM1-OS6900</v>
          </cell>
        </row>
        <row r="186">
          <cell r="H186">
            <v>933</v>
          </cell>
        </row>
        <row r="187">
          <cell r="C187" t="str">
            <v>PP1N-OS6900</v>
          </cell>
        </row>
        <row r="187">
          <cell r="H187">
            <v>11195</v>
          </cell>
        </row>
        <row r="188">
          <cell r="C188" t="str">
            <v>PP2N-OS6900</v>
          </cell>
        </row>
        <row r="188">
          <cell r="H188">
            <v>21062</v>
          </cell>
        </row>
        <row r="189">
          <cell r="C189" t="str">
            <v>PP3N-OS6900</v>
          </cell>
        </row>
        <row r="189">
          <cell r="H189">
            <v>30567</v>
          </cell>
        </row>
        <row r="190">
          <cell r="C190" t="str">
            <v>PP5N-OS6900</v>
          </cell>
        </row>
        <row r="190">
          <cell r="H190">
            <v>47593</v>
          </cell>
        </row>
        <row r="191">
          <cell r="C191" t="str">
            <v>PP8N-OS6900</v>
          </cell>
        </row>
        <row r="191">
          <cell r="H191" t="str">
            <v>Per Quote</v>
          </cell>
        </row>
        <row r="192">
          <cell r="C192" t="str">
            <v>PP10-OS6900</v>
          </cell>
        </row>
        <row r="192">
          <cell r="H192" t="str">
            <v>Per Quote</v>
          </cell>
        </row>
        <row r="193">
          <cell r="C193" t="str">
            <v>OS6870-24</v>
          </cell>
        </row>
        <row r="193">
          <cell r="H193">
            <v>145883</v>
          </cell>
        </row>
        <row r="194">
          <cell r="C194" t="str">
            <v>OS6870-24D</v>
          </cell>
        </row>
        <row r="194">
          <cell r="H194">
            <v>157803</v>
          </cell>
        </row>
        <row r="195">
          <cell r="C195" t="str">
            <v>OS6870-48</v>
          </cell>
        </row>
        <row r="195">
          <cell r="H195">
            <v>215004</v>
          </cell>
        </row>
        <row r="196">
          <cell r="C196" t="str">
            <v>OS6870-48D</v>
          </cell>
        </row>
        <row r="196">
          <cell r="H196">
            <v>228269</v>
          </cell>
        </row>
        <row r="197">
          <cell r="C197" t="str">
            <v>OS6870-V12</v>
          </cell>
        </row>
        <row r="197">
          <cell r="H197">
            <v>270135</v>
          </cell>
        </row>
        <row r="198">
          <cell r="C198" t="str">
            <v>OS6870-V12D</v>
          </cell>
        </row>
        <row r="198">
          <cell r="H198">
            <v>281313</v>
          </cell>
        </row>
        <row r="199">
          <cell r="C199" t="str">
            <v>OS6870PXL48M</v>
          </cell>
        </row>
        <row r="199">
          <cell r="H199">
            <v>361422</v>
          </cell>
        </row>
        <row r="200">
          <cell r="C200" t="str">
            <v>OS6870PX48M</v>
          </cell>
        </row>
        <row r="200">
          <cell r="H200">
            <v>333477</v>
          </cell>
        </row>
        <row r="201">
          <cell r="C201" t="str">
            <v>OS6870PH48M</v>
          </cell>
        </row>
        <row r="201">
          <cell r="H201">
            <v>326025</v>
          </cell>
        </row>
        <row r="202">
          <cell r="C202" t="str">
            <v>OS6870PXL24M</v>
          </cell>
        </row>
        <row r="202">
          <cell r="H202">
            <v>344655</v>
          </cell>
        </row>
        <row r="203">
          <cell r="C203" t="str">
            <v>OS6870PX24M</v>
          </cell>
        </row>
        <row r="203">
          <cell r="H203">
            <v>316710</v>
          </cell>
        </row>
        <row r="204">
          <cell r="C204" t="str">
            <v>OS6870PH24M</v>
          </cell>
        </row>
        <row r="204">
          <cell r="H204">
            <v>309258</v>
          </cell>
        </row>
        <row r="205">
          <cell r="C205" t="str">
            <v>OS6870PX48Z</v>
          </cell>
        </row>
        <row r="205">
          <cell r="H205">
            <v>307395</v>
          </cell>
        </row>
        <row r="206">
          <cell r="C206" t="str">
            <v>OS6870PH48Z</v>
          </cell>
        </row>
        <row r="206">
          <cell r="H206">
            <v>286902</v>
          </cell>
        </row>
        <row r="207">
          <cell r="C207" t="str">
            <v>OS6870PX24Z</v>
          </cell>
        </row>
        <row r="207">
          <cell r="H207">
            <v>262511</v>
          </cell>
        </row>
        <row r="208">
          <cell r="C208" t="str">
            <v>OS6870PH24Z</v>
          </cell>
        </row>
        <row r="208">
          <cell r="H208">
            <v>242018</v>
          </cell>
        </row>
        <row r="209">
          <cell r="C209" t="str">
            <v>OS6870-BPPH</v>
          </cell>
        </row>
        <row r="209">
          <cell r="H209">
            <v>21994</v>
          </cell>
        </row>
        <row r="210">
          <cell r="C210" t="str">
            <v>OS6870-BPPX</v>
          </cell>
        </row>
        <row r="210">
          <cell r="H210">
            <v>36708</v>
          </cell>
        </row>
        <row r="211">
          <cell r="C211" t="str">
            <v>OS6870-BP</v>
          </cell>
        </row>
        <row r="211">
          <cell r="H211">
            <v>12110</v>
          </cell>
        </row>
        <row r="212">
          <cell r="C212" t="str">
            <v>OS6870-BP-D</v>
          </cell>
        </row>
        <row r="212">
          <cell r="H212">
            <v>16215</v>
          </cell>
        </row>
        <row r="213">
          <cell r="C213" t="str">
            <v>OS6870-BPH</v>
          </cell>
        </row>
        <row r="213">
          <cell r="H213">
            <v>20321</v>
          </cell>
        </row>
        <row r="214">
          <cell r="C214" t="str">
            <v>OS6870-BPXL</v>
          </cell>
        </row>
        <row r="214">
          <cell r="H214">
            <v>51509</v>
          </cell>
        </row>
        <row r="215">
          <cell r="C215" t="str">
            <v>OS6870-LNI-U6</v>
          </cell>
        </row>
        <row r="215">
          <cell r="H215">
            <v>33362</v>
          </cell>
        </row>
        <row r="216">
          <cell r="C216" t="str">
            <v>OS6870-CNI-U2</v>
          </cell>
        </row>
        <row r="216">
          <cell r="H216">
            <v>37088</v>
          </cell>
        </row>
        <row r="217">
          <cell r="C217" t="str">
            <v>OS6870-SW-PERF</v>
          </cell>
        </row>
        <row r="217">
          <cell r="H217">
            <v>24219</v>
          </cell>
        </row>
        <row r="218">
          <cell r="C218" t="str">
            <v>OS6-REAR-MNT2</v>
          </cell>
        </row>
        <row r="218">
          <cell r="H218">
            <v>1501</v>
          </cell>
        </row>
        <row r="219">
          <cell r="C219" t="str">
            <v>OS-SW-MACSEC</v>
          </cell>
        </row>
        <row r="219">
          <cell r="H219">
            <v>0</v>
          </cell>
        </row>
        <row r="220">
          <cell r="C220" t="str">
            <v>OS6870-SW-PRM1</v>
          </cell>
        </row>
        <row r="220">
          <cell r="H220">
            <v>47507</v>
          </cell>
        </row>
        <row r="221">
          <cell r="C221" t="str">
            <v>OS6870-SW-PRM2</v>
          </cell>
        </row>
        <row r="221">
          <cell r="H221">
            <v>32603</v>
          </cell>
        </row>
        <row r="222">
          <cell r="C222" t="str">
            <v>PWM1-OS6870</v>
          </cell>
        </row>
        <row r="222">
          <cell r="H222">
            <v>354</v>
          </cell>
        </row>
        <row r="223">
          <cell r="C223" t="str">
            <v>PW1N-OS6870</v>
          </cell>
        </row>
        <row r="223">
          <cell r="H223">
            <v>4242</v>
          </cell>
        </row>
        <row r="224">
          <cell r="C224" t="str">
            <v>PW2N-OS6870</v>
          </cell>
        </row>
        <row r="224">
          <cell r="H224">
            <v>7980</v>
          </cell>
        </row>
        <row r="225">
          <cell r="C225" t="str">
            <v>PW3N-OS6870</v>
          </cell>
        </row>
        <row r="225">
          <cell r="H225">
            <v>11592</v>
          </cell>
        </row>
        <row r="226">
          <cell r="C226" t="str">
            <v>PW5N-OS6870</v>
          </cell>
        </row>
        <row r="226">
          <cell r="H226">
            <v>18032</v>
          </cell>
        </row>
        <row r="227">
          <cell r="C227" t="str">
            <v>PW10-OS6870</v>
          </cell>
        </row>
        <row r="227">
          <cell r="H227" t="str">
            <v>Per Quote</v>
          </cell>
        </row>
        <row r="228">
          <cell r="C228" t="str">
            <v>PW8N-OS6870</v>
          </cell>
        </row>
        <row r="228">
          <cell r="H228" t="str">
            <v>Per Quote</v>
          </cell>
        </row>
        <row r="229">
          <cell r="C229" t="str">
            <v>PPM1-OS6870</v>
          </cell>
        </row>
        <row r="229">
          <cell r="H229">
            <v>515</v>
          </cell>
        </row>
        <row r="230">
          <cell r="C230" t="str">
            <v>PP1N-OS6870</v>
          </cell>
        </row>
        <row r="230">
          <cell r="H230">
            <v>6174</v>
          </cell>
        </row>
        <row r="231">
          <cell r="C231" t="str">
            <v>PP2N-OS6870</v>
          </cell>
        </row>
        <row r="231">
          <cell r="H231">
            <v>11606</v>
          </cell>
        </row>
        <row r="232">
          <cell r="C232" t="str">
            <v>PP3N-OS6870</v>
          </cell>
        </row>
        <row r="232">
          <cell r="H232">
            <v>16856</v>
          </cell>
        </row>
        <row r="233">
          <cell r="C233" t="str">
            <v>PP5N-OS6870</v>
          </cell>
        </row>
        <row r="233">
          <cell r="H233">
            <v>26236</v>
          </cell>
        </row>
        <row r="234">
          <cell r="C234" t="str">
            <v>OS6865-P16X</v>
          </cell>
        </row>
        <row r="234">
          <cell r="H234">
            <v>176080</v>
          </cell>
        </row>
        <row r="235">
          <cell r="C235" t="str">
            <v>OS6865-P16XD</v>
          </cell>
        </row>
        <row r="235">
          <cell r="H235">
            <v>184420</v>
          </cell>
        </row>
        <row r="236">
          <cell r="C236" t="str">
            <v>OS6865-U12X</v>
          </cell>
        </row>
        <row r="236">
          <cell r="H236">
            <v>165320</v>
          </cell>
        </row>
        <row r="237">
          <cell r="C237" t="str">
            <v>OS6865-U12XD</v>
          </cell>
        </row>
        <row r="237">
          <cell r="H237">
            <v>173380</v>
          </cell>
        </row>
        <row r="238">
          <cell r="C238" t="str">
            <v>OS6865-U28X</v>
          </cell>
        </row>
        <row r="238">
          <cell r="H238">
            <v>284760</v>
          </cell>
        </row>
        <row r="239">
          <cell r="C239" t="str">
            <v>OS6865-U28XD</v>
          </cell>
        </row>
        <row r="239">
          <cell r="H239">
            <v>293380</v>
          </cell>
        </row>
        <row r="240">
          <cell r="C240" t="str">
            <v>OS6865-BP</v>
          </cell>
        </row>
        <row r="240">
          <cell r="H240">
            <v>25020</v>
          </cell>
        </row>
        <row r="241">
          <cell r="C241" t="str">
            <v>OS6865-BP-D</v>
          </cell>
        </row>
        <row r="241">
          <cell r="H241">
            <v>32120</v>
          </cell>
        </row>
        <row r="242">
          <cell r="C242" t="str">
            <v>OS6865-CBL-100</v>
          </cell>
        </row>
        <row r="242">
          <cell r="H242">
            <v>14200</v>
          </cell>
        </row>
        <row r="243">
          <cell r="C243" t="str">
            <v>OS6865-CBL-300</v>
          </cell>
        </row>
        <row r="243">
          <cell r="H243">
            <v>16380</v>
          </cell>
        </row>
        <row r="244">
          <cell r="C244" t="str">
            <v>OS6865-CBL-40</v>
          </cell>
        </row>
        <row r="244">
          <cell r="H244">
            <v>12020</v>
          </cell>
        </row>
        <row r="245">
          <cell r="C245" t="str">
            <v>OS6865-DIN-MNT</v>
          </cell>
        </row>
        <row r="245">
          <cell r="H245">
            <v>8740</v>
          </cell>
        </row>
        <row r="246">
          <cell r="C246" t="str">
            <v>OS6865-DIN-PS5</v>
          </cell>
        </row>
        <row r="246">
          <cell r="H246">
            <v>7880</v>
          </cell>
        </row>
        <row r="247">
          <cell r="C247" t="str">
            <v>OS6865-FRK-BKT4</v>
          </cell>
        </row>
        <row r="247">
          <cell r="H247">
            <v>1440</v>
          </cell>
        </row>
        <row r="248">
          <cell r="C248" t="str">
            <v>OS6865-HRK-BKT6</v>
          </cell>
        </row>
        <row r="248">
          <cell r="H248">
            <v>2080</v>
          </cell>
        </row>
        <row r="249">
          <cell r="C249" t="str">
            <v>OS6865-REAR-MNT</v>
          </cell>
        </row>
        <row r="249">
          <cell r="H249">
            <v>7000</v>
          </cell>
        </row>
        <row r="250">
          <cell r="C250" t="str">
            <v>OS6865-TRAY-1U</v>
          </cell>
        </row>
        <row r="250">
          <cell r="H250">
            <v>7000</v>
          </cell>
        </row>
        <row r="251">
          <cell r="C251" t="str">
            <v>OS6865-DNV-HRCK</v>
          </cell>
        </row>
        <row r="251">
          <cell r="H251">
            <v>8680</v>
          </cell>
        </row>
        <row r="252">
          <cell r="C252" t="str">
            <v>OS6865-DNV-FRCK</v>
          </cell>
        </row>
        <row r="252">
          <cell r="H252">
            <v>11200</v>
          </cell>
        </row>
        <row r="253">
          <cell r="C253" t="str">
            <v>PWM1-OS6865</v>
          </cell>
        </row>
        <row r="253">
          <cell r="H253">
            <v>187</v>
          </cell>
        </row>
        <row r="254">
          <cell r="C254" t="str">
            <v>PW1N-OS6865</v>
          </cell>
        </row>
        <row r="254">
          <cell r="H254">
            <v>2240</v>
          </cell>
        </row>
        <row r="255">
          <cell r="C255" t="str">
            <v>PW2N-OS6865</v>
          </cell>
        </row>
        <row r="255">
          <cell r="H255">
            <v>4228</v>
          </cell>
        </row>
        <row r="256">
          <cell r="C256" t="str">
            <v>PW3N-OS6865</v>
          </cell>
        </row>
        <row r="256">
          <cell r="H256">
            <v>6132</v>
          </cell>
        </row>
        <row r="257">
          <cell r="C257" t="str">
            <v>PW5N-OS6865</v>
          </cell>
        </row>
        <row r="257">
          <cell r="H257">
            <v>9548</v>
          </cell>
        </row>
        <row r="258">
          <cell r="C258" t="str">
            <v>PW8N-OS6865</v>
          </cell>
        </row>
        <row r="258">
          <cell r="H258" t="str">
            <v>Per Quote</v>
          </cell>
        </row>
        <row r="259">
          <cell r="C259" t="str">
            <v>PW10-OS6865</v>
          </cell>
        </row>
        <row r="259">
          <cell r="H259" t="str">
            <v>Per Quote</v>
          </cell>
        </row>
        <row r="260">
          <cell r="C260" t="str">
            <v>PPM1-OS6865</v>
          </cell>
        </row>
        <row r="260">
          <cell r="H260">
            <v>372.26</v>
          </cell>
        </row>
        <row r="261">
          <cell r="C261" t="str">
            <v>PP1N-OS6865</v>
          </cell>
        </row>
        <row r="261">
          <cell r="H261">
            <v>5404</v>
          </cell>
        </row>
        <row r="262">
          <cell r="C262" t="str">
            <v>PP2N-OS6865</v>
          </cell>
        </row>
        <row r="262">
          <cell r="H262">
            <v>8400</v>
          </cell>
        </row>
        <row r="263">
          <cell r="C263" t="str">
            <v>PP3N-OS6865</v>
          </cell>
        </row>
        <row r="263">
          <cell r="H263">
            <v>12194</v>
          </cell>
        </row>
        <row r="264">
          <cell r="C264" t="str">
            <v>PP5N-OS6865</v>
          </cell>
        </row>
        <row r="264">
          <cell r="H264">
            <v>18984</v>
          </cell>
        </row>
        <row r="265">
          <cell r="C265" t="str">
            <v>PP8N-OS6865</v>
          </cell>
        </row>
        <row r="265">
          <cell r="H265" t="str">
            <v>Per Quote</v>
          </cell>
        </row>
        <row r="266">
          <cell r="C266" t="str">
            <v>PP10-OS6865</v>
          </cell>
        </row>
        <row r="266">
          <cell r="H266" t="str">
            <v>Per Quote</v>
          </cell>
        </row>
        <row r="267">
          <cell r="C267" t="str">
            <v>OS6860N-P24M</v>
          </cell>
        </row>
        <row r="267">
          <cell r="H267">
            <v>317193</v>
          </cell>
        </row>
        <row r="268">
          <cell r="C268" t="str">
            <v>OS6860N-P24M-00</v>
          </cell>
        </row>
        <row r="268">
          <cell r="H268">
            <v>285143</v>
          </cell>
        </row>
        <row r="269">
          <cell r="C269" t="str">
            <v>OS6860N-P48M</v>
          </cell>
        </row>
        <row r="269">
          <cell r="H269">
            <v>324317</v>
          </cell>
        </row>
        <row r="270">
          <cell r="C270" t="str">
            <v>OS6860NPH48M</v>
          </cell>
        </row>
        <row r="270">
          <cell r="H270">
            <v>311794</v>
          </cell>
        </row>
        <row r="271">
          <cell r="C271" t="str">
            <v>OS6860NPX48M</v>
          </cell>
        </row>
        <row r="271">
          <cell r="H271">
            <v>345397</v>
          </cell>
        </row>
        <row r="272">
          <cell r="C272" t="str">
            <v>OS6860N-P24Z</v>
          </cell>
        </row>
        <row r="272">
          <cell r="H272">
            <v>243173</v>
          </cell>
        </row>
        <row r="273">
          <cell r="C273" t="str">
            <v>OS6860N-P24Z-00</v>
          </cell>
        </row>
        <row r="273">
          <cell r="H273">
            <v>211106</v>
          </cell>
        </row>
        <row r="274">
          <cell r="C274" t="str">
            <v>OS6860N-P48Z</v>
          </cell>
        </row>
        <row r="274">
          <cell r="H274">
            <v>289541</v>
          </cell>
        </row>
        <row r="275">
          <cell r="C275" t="str">
            <v>OS6860NPH48Z</v>
          </cell>
        </row>
        <row r="275">
          <cell r="H275">
            <v>277035</v>
          </cell>
        </row>
        <row r="276">
          <cell r="C276" t="str">
            <v>OS68-CNI-U1</v>
          </cell>
        </row>
        <row r="276">
          <cell r="H276">
            <v>32465</v>
          </cell>
        </row>
        <row r="277">
          <cell r="C277" t="str">
            <v>OS68-QNI-U2</v>
          </cell>
        </row>
        <row r="277">
          <cell r="H277">
            <v>30153</v>
          </cell>
        </row>
        <row r="278">
          <cell r="C278" t="str">
            <v>OS68-VNI-U4</v>
          </cell>
        </row>
        <row r="278">
          <cell r="H278">
            <v>32465</v>
          </cell>
        </row>
        <row r="279">
          <cell r="C279" t="str">
            <v>OS68-XNI-U4</v>
          </cell>
        </row>
        <row r="279">
          <cell r="H279">
            <v>20890</v>
          </cell>
        </row>
        <row r="280">
          <cell r="C280" t="str">
            <v>OS6860N-BPPH</v>
          </cell>
        </row>
        <row r="280">
          <cell r="H280">
            <v>21373</v>
          </cell>
        </row>
        <row r="281">
          <cell r="C281" t="str">
            <v>OS6860N-BPPX</v>
          </cell>
        </row>
        <row r="281">
          <cell r="H281">
            <v>32068</v>
          </cell>
        </row>
        <row r="282">
          <cell r="C282" t="str">
            <v>OS6860N-BPXL</v>
          </cell>
        </row>
        <row r="282">
          <cell r="H282">
            <v>50077</v>
          </cell>
        </row>
        <row r="283">
          <cell r="C283" t="str">
            <v>OS6860-BP-D</v>
          </cell>
        </row>
        <row r="283">
          <cell r="H283">
            <v>15042</v>
          </cell>
        </row>
        <row r="284">
          <cell r="C284" t="str">
            <v>OS6860-BP</v>
          </cell>
        </row>
        <row r="284">
          <cell r="H284">
            <v>10695</v>
          </cell>
        </row>
        <row r="285">
          <cell r="C285" t="str">
            <v>OS-SW-MACSEC</v>
          </cell>
        </row>
        <row r="285">
          <cell r="H285">
            <v>17</v>
          </cell>
        </row>
        <row r="286">
          <cell r="C286" t="str">
            <v>OS-FIPSKIT</v>
          </cell>
        </row>
        <row r="286">
          <cell r="H286">
            <v>3778</v>
          </cell>
        </row>
        <row r="287">
          <cell r="C287" t="str">
            <v>OS6860-RS232CBL</v>
          </cell>
        </row>
        <row r="287">
          <cell r="H287">
            <v>293</v>
          </cell>
        </row>
        <row r="288">
          <cell r="C288" t="str">
            <v>OS-FRBK-MNT</v>
          </cell>
        </row>
        <row r="288">
          <cell r="H288">
            <v>311</v>
          </cell>
        </row>
        <row r="289">
          <cell r="C289" t="str">
            <v>OS6860-CBL-100</v>
          </cell>
        </row>
        <row r="289">
          <cell r="H289">
            <v>8159</v>
          </cell>
        </row>
        <row r="290">
          <cell r="C290" t="str">
            <v>OS6860-CBL-300</v>
          </cell>
        </row>
        <row r="290">
          <cell r="H290">
            <v>9971</v>
          </cell>
        </row>
        <row r="291">
          <cell r="C291" t="str">
            <v>OS6860-CBL-40</v>
          </cell>
        </row>
        <row r="291">
          <cell r="H291">
            <v>6348</v>
          </cell>
        </row>
        <row r="292">
          <cell r="C292" t="str">
            <v>OS6860N-MPLS-1</v>
          </cell>
        </row>
        <row r="292">
          <cell r="H292">
            <v>54251</v>
          </cell>
        </row>
        <row r="293">
          <cell r="C293" t="str">
            <v>OS6860N-MPLS-4</v>
          </cell>
        </row>
        <row r="293">
          <cell r="H293">
            <v>126701</v>
          </cell>
        </row>
        <row r="294">
          <cell r="C294" t="str">
            <v>PWM1-OS6860</v>
          </cell>
        </row>
        <row r="294">
          <cell r="H294">
            <v>100</v>
          </cell>
        </row>
        <row r="295">
          <cell r="C295" t="str">
            <v>PW1N-OS6860</v>
          </cell>
        </row>
        <row r="295">
          <cell r="H295">
            <v>1204</v>
          </cell>
        </row>
        <row r="296">
          <cell r="C296" t="str">
            <v>PW2N-OS6860</v>
          </cell>
        </row>
        <row r="296">
          <cell r="H296">
            <v>2254</v>
          </cell>
        </row>
        <row r="297">
          <cell r="C297" t="str">
            <v>PW3N-OS6860</v>
          </cell>
        </row>
        <row r="297">
          <cell r="H297">
            <v>3276</v>
          </cell>
        </row>
        <row r="298">
          <cell r="C298" t="str">
            <v>PW5N-OS6860</v>
          </cell>
        </row>
        <row r="298">
          <cell r="H298">
            <v>5110</v>
          </cell>
        </row>
        <row r="299">
          <cell r="C299" t="str">
            <v>PW8N-OS6860</v>
          </cell>
        </row>
        <row r="299">
          <cell r="H299" t="str">
            <v>Per Quote</v>
          </cell>
        </row>
        <row r="300">
          <cell r="C300" t="str">
            <v>PW10N-OS6860</v>
          </cell>
        </row>
        <row r="300">
          <cell r="H300" t="str">
            <v>Per Quote</v>
          </cell>
        </row>
        <row r="301">
          <cell r="C301" t="str">
            <v>PPM1-OS6860</v>
          </cell>
        </row>
        <row r="301">
          <cell r="H301">
            <v>193</v>
          </cell>
        </row>
        <row r="302">
          <cell r="C302" t="str">
            <v>PP1N-OS6860</v>
          </cell>
        </row>
        <row r="302">
          <cell r="H302">
            <v>2324</v>
          </cell>
        </row>
        <row r="303">
          <cell r="C303" t="str">
            <v>PP2N-OS6860</v>
          </cell>
        </row>
        <row r="303">
          <cell r="H303">
            <v>4354</v>
          </cell>
        </row>
        <row r="304">
          <cell r="C304" t="str">
            <v>PP3N-OS6860</v>
          </cell>
        </row>
        <row r="304">
          <cell r="H304">
            <v>6328</v>
          </cell>
        </row>
        <row r="305">
          <cell r="C305" t="str">
            <v>PP5N-OS6860</v>
          </cell>
        </row>
        <row r="305">
          <cell r="H305">
            <v>9856</v>
          </cell>
        </row>
        <row r="306">
          <cell r="C306" t="str">
            <v>PP8N-OS6860</v>
          </cell>
        </row>
        <row r="306">
          <cell r="H306" t="str">
            <v>Per Quote</v>
          </cell>
        </row>
        <row r="307">
          <cell r="C307" t="str">
            <v>PP10-OS6860</v>
          </cell>
        </row>
        <row r="307">
          <cell r="H307" t="str">
            <v>Per Quote</v>
          </cell>
        </row>
        <row r="308">
          <cell r="C308" t="str">
            <v>OS6575-MP16-00</v>
          </cell>
        </row>
        <row r="308">
          <cell r="H308">
            <v>190181</v>
          </cell>
        </row>
        <row r="309">
          <cell r="C309" t="str">
            <v>OS6575-P12-00</v>
          </cell>
        </row>
        <row r="309">
          <cell r="H309">
            <v>112298</v>
          </cell>
        </row>
        <row r="310">
          <cell r="C310" t="str">
            <v>OS6575-P12-ZZ</v>
          </cell>
        </row>
        <row r="310">
          <cell r="H310">
            <v>119905</v>
          </cell>
        </row>
        <row r="311">
          <cell r="C311" t="str">
            <v>OS6575-U28-00</v>
          </cell>
        </row>
        <row r="311">
          <cell r="H311">
            <v>197426</v>
          </cell>
        </row>
        <row r="312">
          <cell r="C312" t="str">
            <v>OS6575-U28-ZZ</v>
          </cell>
        </row>
        <row r="312">
          <cell r="H312">
            <v>219161</v>
          </cell>
        </row>
        <row r="313">
          <cell r="C313" t="str">
            <v>M12-CONSOLE-5P</v>
          </cell>
        </row>
        <row r="313">
          <cell r="H313">
            <v>13593</v>
          </cell>
        </row>
        <row r="314">
          <cell r="C314" t="str">
            <v>M12-ALARM-6P</v>
          </cell>
        </row>
        <row r="314">
          <cell r="H314">
            <v>12230</v>
          </cell>
        </row>
        <row r="315">
          <cell r="C315" t="str">
            <v>M12-USB-2P</v>
          </cell>
        </row>
        <row r="315">
          <cell r="H315">
            <v>4088</v>
          </cell>
        </row>
        <row r="316">
          <cell r="C316" t="str">
            <v>M12-DC-M-8P</v>
          </cell>
        </row>
        <row r="316">
          <cell r="H316">
            <v>21735</v>
          </cell>
        </row>
        <row r="317">
          <cell r="C317" t="str">
            <v>M12-DC-RJ45M-8P</v>
          </cell>
        </row>
        <row r="317">
          <cell r="H317">
            <v>16301</v>
          </cell>
        </row>
        <row r="318">
          <cell r="C318" t="str">
            <v>M12-DC-RJ45F-8P</v>
          </cell>
        </row>
        <row r="318">
          <cell r="H318">
            <v>16301</v>
          </cell>
        </row>
        <row r="319">
          <cell r="C319" t="str">
            <v>M12-XC-M-8P</v>
          </cell>
        </row>
        <row r="319">
          <cell r="H319">
            <v>21735</v>
          </cell>
        </row>
        <row r="320">
          <cell r="C320" t="str">
            <v>M12-XC-RJ45M-8P</v>
          </cell>
        </row>
        <row r="320">
          <cell r="H320">
            <v>18475</v>
          </cell>
        </row>
        <row r="321">
          <cell r="C321" t="str">
            <v>M12-XC-RJ45F-8P</v>
          </cell>
        </row>
        <row r="321">
          <cell r="H321">
            <v>18475</v>
          </cell>
        </row>
        <row r="322">
          <cell r="C322" t="str">
            <v>M23-PWRCONN-5P</v>
          </cell>
        </row>
        <row r="322">
          <cell r="H322">
            <v>16991</v>
          </cell>
        </row>
        <row r="323">
          <cell r="C323" t="str">
            <v>OS6575-BPR</v>
          </cell>
        </row>
        <row r="323">
          <cell r="H323">
            <v>21735</v>
          </cell>
        </row>
        <row r="324">
          <cell r="C324" t="str">
            <v>OS6575-BPR-ZZ</v>
          </cell>
        </row>
        <row r="324">
          <cell r="H324">
            <v>21735</v>
          </cell>
        </row>
        <row r="325">
          <cell r="C325" t="str">
            <v>OS6575-BPR-D</v>
          </cell>
        </row>
        <row r="325">
          <cell r="H325">
            <v>27721</v>
          </cell>
        </row>
        <row r="326">
          <cell r="C326" t="str">
            <v>OS6NN5-BPNS</v>
          </cell>
        </row>
        <row r="326">
          <cell r="H326">
            <v>7607</v>
          </cell>
        </row>
        <row r="327">
          <cell r="C327" t="str">
            <v>OS6NN5-BPNS-ZZ</v>
          </cell>
        </row>
        <row r="327">
          <cell r="H327">
            <v>7607</v>
          </cell>
        </row>
        <row r="328">
          <cell r="C328" t="str">
            <v>OS6NN5-BPNSX</v>
          </cell>
        </row>
        <row r="328">
          <cell r="H328">
            <v>19096</v>
          </cell>
        </row>
        <row r="329">
          <cell r="C329" t="str">
            <v>OS6NN5-BPNSX-ZZ</v>
          </cell>
        </row>
        <row r="329">
          <cell r="H329">
            <v>19096</v>
          </cell>
        </row>
        <row r="330">
          <cell r="C330" t="str">
            <v>PW1N-OS6575</v>
          </cell>
        </row>
        <row r="330">
          <cell r="H330">
            <v>1540</v>
          </cell>
        </row>
        <row r="331">
          <cell r="C331" t="str">
            <v>PW2N-OS6575</v>
          </cell>
        </row>
        <row r="331">
          <cell r="H331">
            <v>2884</v>
          </cell>
        </row>
        <row r="332">
          <cell r="C332" t="str">
            <v>PW3N-OS6575</v>
          </cell>
        </row>
        <row r="332">
          <cell r="H332">
            <v>4186</v>
          </cell>
        </row>
        <row r="333">
          <cell r="C333" t="str">
            <v>PW5N-OS6575</v>
          </cell>
        </row>
        <row r="333">
          <cell r="H333">
            <v>6510</v>
          </cell>
        </row>
        <row r="334">
          <cell r="C334" t="str">
            <v>PP1N-OS6575</v>
          </cell>
        </row>
        <row r="334">
          <cell r="H334">
            <v>3066</v>
          </cell>
        </row>
        <row r="335">
          <cell r="C335" t="str">
            <v>PP2N-OS6575</v>
          </cell>
        </row>
        <row r="335">
          <cell r="H335">
            <v>5768</v>
          </cell>
        </row>
        <row r="336">
          <cell r="C336" t="str">
            <v>PP3N-OS6575</v>
          </cell>
        </row>
        <row r="336">
          <cell r="H336">
            <v>8372</v>
          </cell>
        </row>
        <row r="337">
          <cell r="C337" t="str">
            <v>PP5N-OS6575</v>
          </cell>
        </row>
        <row r="337">
          <cell r="H337">
            <v>13034</v>
          </cell>
        </row>
        <row r="338">
          <cell r="C338" t="str">
            <v>PW1X-OS6575</v>
          </cell>
        </row>
        <row r="338">
          <cell r="H338">
            <v>2296</v>
          </cell>
        </row>
        <row r="339">
          <cell r="C339" t="str">
            <v>PW8N-OS6575</v>
          </cell>
        </row>
        <row r="339">
          <cell r="H339" t="str">
            <v>Per Quote</v>
          </cell>
        </row>
        <row r="340">
          <cell r="C340" t="str">
            <v>PW10-OS6575</v>
          </cell>
        </row>
        <row r="340">
          <cell r="H340" t="str">
            <v>Per Quote</v>
          </cell>
        </row>
        <row r="341">
          <cell r="C341" t="str">
            <v>PP8N-OS6575</v>
          </cell>
        </row>
        <row r="341">
          <cell r="H341" t="str">
            <v>Per Quote</v>
          </cell>
        </row>
        <row r="342">
          <cell r="C342" t="str">
            <v>PP10-OS6575</v>
          </cell>
        </row>
        <row r="342">
          <cell r="H342" t="str">
            <v>Per Quote</v>
          </cell>
        </row>
        <row r="343">
          <cell r="C343" t="str">
            <v>PWM1-OS6575</v>
          </cell>
        </row>
        <row r="343">
          <cell r="H343">
            <v>126</v>
          </cell>
        </row>
        <row r="344">
          <cell r="C344" t="str">
            <v>PPM1-OS6575</v>
          </cell>
        </row>
        <row r="344">
          <cell r="H344">
            <v>252</v>
          </cell>
        </row>
        <row r="345">
          <cell r="C345" t="str">
            <v>OS6570M-U28</v>
          </cell>
        </row>
        <row r="345">
          <cell r="H345">
            <v>82886</v>
          </cell>
        </row>
        <row r="346">
          <cell r="C346" t="str">
            <v>OS6570M-U28D</v>
          </cell>
        </row>
        <row r="346">
          <cell r="H346">
            <v>87596</v>
          </cell>
        </row>
        <row r="347">
          <cell r="C347" t="str">
            <v>OS6570M-12</v>
          </cell>
        </row>
        <row r="347">
          <cell r="H347">
            <v>35794</v>
          </cell>
        </row>
        <row r="348">
          <cell r="C348" t="str">
            <v>OS6570M-12D</v>
          </cell>
        </row>
        <row r="348">
          <cell r="H348">
            <v>38623</v>
          </cell>
        </row>
        <row r="349">
          <cell r="C349" t="str">
            <v>OS6570M-DUO-MNT</v>
          </cell>
        </row>
        <row r="349">
          <cell r="H349">
            <v>604</v>
          </cell>
        </row>
        <row r="350">
          <cell r="C350" t="str">
            <v>OS6570M-RM-19-L</v>
          </cell>
        </row>
        <row r="350">
          <cell r="H350">
            <v>397</v>
          </cell>
        </row>
        <row r="351">
          <cell r="C351" t="str">
            <v>OS6570-SW-PERF4</v>
          </cell>
        </row>
        <row r="351">
          <cell r="H351">
            <v>37674</v>
          </cell>
        </row>
        <row r="352">
          <cell r="C352" t="str">
            <v>OS6570M-SW-AR</v>
          </cell>
        </row>
        <row r="352">
          <cell r="H352">
            <v>28256</v>
          </cell>
        </row>
        <row r="353">
          <cell r="C353" t="str">
            <v>OS6570-SW-PRM28</v>
          </cell>
        </row>
        <row r="353">
          <cell r="H353">
            <v>46196</v>
          </cell>
        </row>
        <row r="354">
          <cell r="C354" t="str">
            <v>OS6570-SW-PRM12</v>
          </cell>
        </row>
        <row r="354">
          <cell r="H354">
            <v>31706</v>
          </cell>
        </row>
        <row r="355">
          <cell r="C355" t="str">
            <v>OS6570-12-BP</v>
          </cell>
        </row>
        <row r="355">
          <cell r="H355">
            <v>6038</v>
          </cell>
        </row>
        <row r="356">
          <cell r="C356" t="str">
            <v>OS6570-12-BP-D</v>
          </cell>
        </row>
        <row r="356">
          <cell r="H356">
            <v>7918</v>
          </cell>
        </row>
        <row r="357">
          <cell r="C357" t="str">
            <v>OS6570-BP-D</v>
          </cell>
        </row>
        <row r="357">
          <cell r="H357">
            <v>15042</v>
          </cell>
        </row>
        <row r="358">
          <cell r="C358" t="str">
            <v>OS6570-BP</v>
          </cell>
        </row>
        <row r="358">
          <cell r="H358">
            <v>10695</v>
          </cell>
        </row>
        <row r="359">
          <cell r="C359" t="str">
            <v>PPM1-OS6570</v>
          </cell>
        </row>
        <row r="359">
          <cell r="H359">
            <v>80</v>
          </cell>
        </row>
        <row r="360">
          <cell r="C360" t="str">
            <v>PP1N-OS6570</v>
          </cell>
        </row>
        <row r="360">
          <cell r="H360">
            <v>966</v>
          </cell>
        </row>
        <row r="361">
          <cell r="C361" t="str">
            <v>PP2N-OS6570</v>
          </cell>
        </row>
        <row r="361">
          <cell r="H361">
            <v>1806</v>
          </cell>
        </row>
        <row r="362">
          <cell r="C362" t="str">
            <v>PP3N-OS6570</v>
          </cell>
        </row>
        <row r="362">
          <cell r="H362">
            <v>2632</v>
          </cell>
        </row>
        <row r="363">
          <cell r="C363" t="str">
            <v>PP5N-OS6570</v>
          </cell>
        </row>
        <row r="363">
          <cell r="H363">
            <v>4088</v>
          </cell>
        </row>
        <row r="364">
          <cell r="C364" t="str">
            <v>PWM1-OS6570</v>
          </cell>
        </row>
        <row r="364">
          <cell r="H364">
            <v>47</v>
          </cell>
        </row>
        <row r="365">
          <cell r="C365" t="str">
            <v>PW1N-OS6570</v>
          </cell>
        </row>
        <row r="365">
          <cell r="H365">
            <v>560</v>
          </cell>
        </row>
        <row r="366">
          <cell r="C366" t="str">
            <v>PW2N-OS6570</v>
          </cell>
        </row>
        <row r="366">
          <cell r="H366">
            <v>1050</v>
          </cell>
        </row>
        <row r="367">
          <cell r="C367" t="str">
            <v>PW3N-OS6570</v>
          </cell>
        </row>
        <row r="367">
          <cell r="H367">
            <v>1526</v>
          </cell>
        </row>
        <row r="368">
          <cell r="C368" t="str">
            <v>PW5N-OS6570</v>
          </cell>
        </row>
        <row r="368">
          <cell r="H368">
            <v>2380</v>
          </cell>
        </row>
        <row r="369">
          <cell r="C369" t="str">
            <v>OS6560E-P24Z8</v>
          </cell>
        </row>
        <row r="369">
          <cell r="H369">
            <v>115299</v>
          </cell>
        </row>
        <row r="370">
          <cell r="C370" t="str">
            <v>OS6560-P24Z24</v>
          </cell>
        </row>
        <row r="370">
          <cell r="H370">
            <v>163789</v>
          </cell>
        </row>
        <row r="371">
          <cell r="C371" t="str">
            <v>OS6560E-P48Z16</v>
          </cell>
        </row>
        <row r="371">
          <cell r="H371">
            <v>195184</v>
          </cell>
        </row>
        <row r="372">
          <cell r="C372" t="str">
            <v>OS6560-P24X4</v>
          </cell>
        </row>
        <row r="372">
          <cell r="H372">
            <v>100102</v>
          </cell>
        </row>
        <row r="373">
          <cell r="C373" t="str">
            <v>OS6560-24X4</v>
          </cell>
        </row>
        <row r="373">
          <cell r="H373">
            <v>72795</v>
          </cell>
        </row>
        <row r="374">
          <cell r="C374" t="str">
            <v>OS6560-P48X4</v>
          </cell>
        </row>
        <row r="374">
          <cell r="H374">
            <v>145590</v>
          </cell>
        </row>
        <row r="375">
          <cell r="C375" t="str">
            <v>OS6560-PXZ24</v>
          </cell>
        </row>
        <row r="375">
          <cell r="H375">
            <v>175157</v>
          </cell>
        </row>
        <row r="376">
          <cell r="C376" t="str">
            <v>OS6560-48X4</v>
          </cell>
        </row>
        <row r="376">
          <cell r="H376">
            <v>102379</v>
          </cell>
        </row>
        <row r="377">
          <cell r="C377" t="str">
            <v>OS6560-X10</v>
          </cell>
        </row>
        <row r="377">
          <cell r="H377">
            <v>102379</v>
          </cell>
        </row>
        <row r="378">
          <cell r="C378" t="str">
            <v>OS6560-BP-P</v>
          </cell>
        </row>
        <row r="378">
          <cell r="H378">
            <v>9815</v>
          </cell>
        </row>
        <row r="379">
          <cell r="C379" t="str">
            <v>OS6560-BP-PH</v>
          </cell>
        </row>
        <row r="379">
          <cell r="H379">
            <v>21373</v>
          </cell>
        </row>
        <row r="380">
          <cell r="C380" t="str">
            <v>OS6560-BP-PX</v>
          </cell>
        </row>
        <row r="380">
          <cell r="H380">
            <v>32068</v>
          </cell>
        </row>
        <row r="381">
          <cell r="C381" t="str">
            <v>OS6560-BP</v>
          </cell>
        </row>
        <row r="381">
          <cell r="H381">
            <v>10695</v>
          </cell>
        </row>
        <row r="382">
          <cell r="C382" t="str">
            <v>OS6560-BP-D</v>
          </cell>
        </row>
        <row r="382">
          <cell r="H382">
            <v>15042</v>
          </cell>
        </row>
        <row r="383">
          <cell r="C383" t="str">
            <v>OS-SW-MACSEC</v>
          </cell>
        </row>
        <row r="383">
          <cell r="H383">
            <v>17</v>
          </cell>
        </row>
        <row r="384">
          <cell r="C384" t="str">
            <v>OS6560-SW-ME</v>
          </cell>
        </row>
        <row r="384">
          <cell r="H384">
            <v>9419</v>
          </cell>
        </row>
        <row r="385">
          <cell r="C385" t="str">
            <v>OS6560-SW-PERF</v>
          </cell>
        </row>
        <row r="385">
          <cell r="H385">
            <v>22615</v>
          </cell>
        </row>
        <row r="386">
          <cell r="C386" t="str">
            <v>OS6560-SW-AR</v>
          </cell>
        </row>
        <row r="386">
          <cell r="H386">
            <v>22649</v>
          </cell>
        </row>
        <row r="387">
          <cell r="C387" t="str">
            <v>OS6560-CBL-100</v>
          </cell>
        </row>
        <row r="387">
          <cell r="H387">
            <v>8159</v>
          </cell>
        </row>
        <row r="388">
          <cell r="C388" t="str">
            <v>OS6560-CBL-300</v>
          </cell>
        </row>
        <row r="388">
          <cell r="H388">
            <v>9971</v>
          </cell>
        </row>
        <row r="389">
          <cell r="C389" t="str">
            <v>OS6560-CBL-40</v>
          </cell>
        </row>
        <row r="389">
          <cell r="H389">
            <v>6348</v>
          </cell>
        </row>
        <row r="390">
          <cell r="C390" t="str">
            <v>SFP-10G-C1M</v>
          </cell>
        </row>
        <row r="390">
          <cell r="H390">
            <v>2588</v>
          </cell>
        </row>
        <row r="391">
          <cell r="C391" t="str">
            <v>SFP-10G-C3M</v>
          </cell>
        </row>
        <row r="391">
          <cell r="H391">
            <v>3450</v>
          </cell>
        </row>
        <row r="392">
          <cell r="C392" t="str">
            <v>SFP-10G-C7M</v>
          </cell>
        </row>
        <row r="392">
          <cell r="H392">
            <v>5175</v>
          </cell>
        </row>
        <row r="393">
          <cell r="C393" t="str">
            <v>OS-DNV-FILTER</v>
          </cell>
        </row>
        <row r="393">
          <cell r="H393">
            <v>8677</v>
          </cell>
        </row>
        <row r="394">
          <cell r="C394" t="str">
            <v>OS-DNV-MNT</v>
          </cell>
        </row>
        <row r="394">
          <cell r="H394">
            <v>5434</v>
          </cell>
        </row>
        <row r="395">
          <cell r="C395" t="str">
            <v>PPM1-OS6560</v>
          </cell>
        </row>
        <row r="395">
          <cell r="H395">
            <v>91</v>
          </cell>
        </row>
        <row r="396">
          <cell r="C396" t="str">
            <v>PP1N-OS6560</v>
          </cell>
        </row>
        <row r="396">
          <cell r="H396">
            <v>1092</v>
          </cell>
        </row>
        <row r="397">
          <cell r="C397" t="str">
            <v>PP2N-OS6560</v>
          </cell>
        </row>
        <row r="397">
          <cell r="H397">
            <v>2044</v>
          </cell>
        </row>
        <row r="398">
          <cell r="C398" t="str">
            <v>PP3N-OS6560</v>
          </cell>
        </row>
        <row r="398">
          <cell r="H398">
            <v>2968</v>
          </cell>
        </row>
        <row r="399">
          <cell r="C399" t="str">
            <v>PP5N-OS6560</v>
          </cell>
        </row>
        <row r="399">
          <cell r="H399">
            <v>4620</v>
          </cell>
        </row>
        <row r="400">
          <cell r="C400" t="str">
            <v>PP8N-OS6560</v>
          </cell>
        </row>
        <row r="400">
          <cell r="H400" t="str">
            <v>Per Quote</v>
          </cell>
        </row>
        <row r="401">
          <cell r="C401" t="str">
            <v>PP10-OS6560</v>
          </cell>
        </row>
        <row r="401">
          <cell r="H401" t="str">
            <v>Per Quote</v>
          </cell>
        </row>
        <row r="402">
          <cell r="C402" t="str">
            <v>PWM1-OS6560</v>
          </cell>
        </row>
        <row r="402">
          <cell r="H402">
            <v>47</v>
          </cell>
        </row>
        <row r="403">
          <cell r="C403" t="str">
            <v>PW1N-OS6560</v>
          </cell>
        </row>
        <row r="403">
          <cell r="H403">
            <v>560</v>
          </cell>
        </row>
        <row r="404">
          <cell r="C404" t="str">
            <v>PW2N-OS6560</v>
          </cell>
        </row>
        <row r="404">
          <cell r="H404">
            <v>1064</v>
          </cell>
        </row>
        <row r="405">
          <cell r="C405" t="str">
            <v>PW3N-OS6560</v>
          </cell>
        </row>
        <row r="405">
          <cell r="H405">
            <v>1554</v>
          </cell>
        </row>
        <row r="406">
          <cell r="C406" t="str">
            <v>PW5N-OS6560</v>
          </cell>
        </row>
        <row r="406">
          <cell r="H406">
            <v>2408</v>
          </cell>
        </row>
        <row r="407">
          <cell r="C407" t="str">
            <v>PW8N-OS6560</v>
          </cell>
        </row>
        <row r="407">
          <cell r="H407" t="str">
            <v>Per Quote</v>
          </cell>
        </row>
        <row r="408">
          <cell r="C408" t="str">
            <v>PW10-OS6560</v>
          </cell>
        </row>
        <row r="408">
          <cell r="H408" t="str">
            <v>Per Quote</v>
          </cell>
        </row>
        <row r="409">
          <cell r="C409" t="str">
            <v>OS6465-P28D</v>
          </cell>
        </row>
        <row r="409">
          <cell r="H409">
            <v>159131</v>
          </cell>
        </row>
        <row r="410">
          <cell r="C410" t="str">
            <v>OS6465-P6-CN</v>
          </cell>
        </row>
        <row r="410">
          <cell r="H410">
            <v>50767</v>
          </cell>
        </row>
        <row r="411">
          <cell r="C411" t="str">
            <v>OS6465-P28-CN</v>
          </cell>
        </row>
        <row r="411">
          <cell r="H411">
            <v>150041</v>
          </cell>
        </row>
        <row r="412">
          <cell r="C412" t="str">
            <v>OS6465H-P12-CN</v>
          </cell>
        </row>
        <row r="412">
          <cell r="H412">
            <v>65516</v>
          </cell>
        </row>
        <row r="413">
          <cell r="C413" t="str">
            <v>OS6465H-P12</v>
          </cell>
        </row>
        <row r="413">
          <cell r="H413">
            <v>63204</v>
          </cell>
        </row>
        <row r="414">
          <cell r="C414" t="str">
            <v>OS6465-P28</v>
          </cell>
        </row>
        <row r="414">
          <cell r="H414">
            <v>131825</v>
          </cell>
        </row>
        <row r="415">
          <cell r="C415" t="str">
            <v>OS6465-P6</v>
          </cell>
        </row>
        <row r="415">
          <cell r="H415">
            <v>47679</v>
          </cell>
        </row>
        <row r="416">
          <cell r="C416" t="str">
            <v>OS6465T-12</v>
          </cell>
        </row>
        <row r="416">
          <cell r="H416">
            <v>24926</v>
          </cell>
        </row>
        <row r="417">
          <cell r="C417" t="str">
            <v>OS6465T-P12</v>
          </cell>
        </row>
        <row r="417">
          <cell r="H417">
            <v>31757</v>
          </cell>
        </row>
        <row r="418">
          <cell r="C418" t="str">
            <v>OS6465-BPN-H</v>
          </cell>
        </row>
        <row r="418">
          <cell r="H418">
            <v>9815</v>
          </cell>
        </row>
        <row r="419">
          <cell r="C419" t="str">
            <v>OS6465-BPN</v>
          </cell>
        </row>
        <row r="419">
          <cell r="H419">
            <v>3571</v>
          </cell>
        </row>
        <row r="420">
          <cell r="C420" t="str">
            <v>OS6465H-BPNX</v>
          </cell>
        </row>
        <row r="420">
          <cell r="H420">
            <v>19096</v>
          </cell>
        </row>
        <row r="421">
          <cell r="C421" t="str">
            <v>OS6465-BPR</v>
          </cell>
        </row>
        <row r="421">
          <cell r="H421">
            <v>21580</v>
          </cell>
        </row>
        <row r="422">
          <cell r="C422" t="str">
            <v>OS6465-BPRD</v>
          </cell>
        </row>
        <row r="422">
          <cell r="H422">
            <v>27704</v>
          </cell>
        </row>
        <row r="423">
          <cell r="C423" t="str">
            <v>OS-SW-MACSEC</v>
          </cell>
        </row>
        <row r="423">
          <cell r="H423">
            <v>17</v>
          </cell>
        </row>
        <row r="424">
          <cell r="C424" t="str">
            <v>OS-RJ45-DB9-5P</v>
          </cell>
        </row>
        <row r="424">
          <cell r="H424">
            <v>362</v>
          </cell>
        </row>
        <row r="425">
          <cell r="C425" t="str">
            <v>OS6465-FRK-BKT4</v>
          </cell>
        </row>
        <row r="425">
          <cell r="H425">
            <v>1363</v>
          </cell>
        </row>
        <row r="426">
          <cell r="C426" t="str">
            <v>OS6465-REAR-MNT</v>
          </cell>
        </row>
        <row r="426">
          <cell r="H426">
            <v>6659</v>
          </cell>
        </row>
        <row r="427">
          <cell r="C427" t="str">
            <v>OS6465-WALL-KT5</v>
          </cell>
        </row>
        <row r="427">
          <cell r="H427">
            <v>10281</v>
          </cell>
        </row>
        <row r="428">
          <cell r="C428" t="str">
            <v>OS6465T-DUO-MNT</v>
          </cell>
        </row>
        <row r="428">
          <cell r="H428">
            <v>604</v>
          </cell>
        </row>
        <row r="429">
          <cell r="C429" t="str">
            <v>OS6465T-RM-19-L</v>
          </cell>
        </row>
        <row r="429">
          <cell r="H429">
            <v>483</v>
          </cell>
        </row>
        <row r="430">
          <cell r="C430" t="str">
            <v>OS6465T-CBL-60</v>
          </cell>
        </row>
        <row r="430">
          <cell r="H430">
            <v>2829</v>
          </cell>
        </row>
        <row r="431">
          <cell r="C431" t="str">
            <v>OS6465T-CBL-1M</v>
          </cell>
        </row>
        <row r="431">
          <cell r="H431">
            <v>2726</v>
          </cell>
        </row>
        <row r="432">
          <cell r="C432" t="str">
            <v>OS6465T-CBL-3M</v>
          </cell>
        </row>
        <row r="432">
          <cell r="H432">
            <v>3623</v>
          </cell>
        </row>
        <row r="433">
          <cell r="C433" t="str">
            <v>OS6465-DNV-DIN</v>
          </cell>
        </row>
        <row r="433">
          <cell r="H433">
            <v>6417</v>
          </cell>
        </row>
        <row r="434">
          <cell r="C434" t="str">
            <v>OS6465-DNV-RACK</v>
          </cell>
        </row>
        <row r="434">
          <cell r="H434">
            <v>9660</v>
          </cell>
        </row>
        <row r="435">
          <cell r="C435" t="str">
            <v>PWM1-OS6465</v>
          </cell>
        </row>
        <row r="435">
          <cell r="H435">
            <v>39</v>
          </cell>
        </row>
        <row r="436">
          <cell r="C436" t="str">
            <v>PW1N-OS6465</v>
          </cell>
        </row>
        <row r="436">
          <cell r="H436">
            <v>476</v>
          </cell>
        </row>
        <row r="437">
          <cell r="C437" t="str">
            <v>PW2N-OS6465</v>
          </cell>
        </row>
        <row r="437">
          <cell r="H437">
            <v>882</v>
          </cell>
        </row>
        <row r="438">
          <cell r="C438" t="str">
            <v>PW3N-OS6465</v>
          </cell>
        </row>
        <row r="438">
          <cell r="H438">
            <v>1274</v>
          </cell>
        </row>
        <row r="439">
          <cell r="C439" t="str">
            <v>PW5N-OS6465</v>
          </cell>
        </row>
        <row r="439">
          <cell r="H439">
            <v>1988</v>
          </cell>
        </row>
        <row r="440">
          <cell r="C440" t="str">
            <v>PW8N-OS6465</v>
          </cell>
        </row>
        <row r="440">
          <cell r="H440" t="str">
            <v>Per Quote</v>
          </cell>
        </row>
        <row r="441">
          <cell r="C441" t="str">
            <v>PW10-OS6465</v>
          </cell>
        </row>
        <row r="441">
          <cell r="H441" t="str">
            <v>Per Quote</v>
          </cell>
        </row>
        <row r="442">
          <cell r="C442" t="str">
            <v>PPM1-OS6465</v>
          </cell>
        </row>
        <row r="442">
          <cell r="H442">
            <v>79</v>
          </cell>
        </row>
        <row r="443">
          <cell r="C443" t="str">
            <v>PP1N-OS6465</v>
          </cell>
        </row>
        <row r="443">
          <cell r="H443">
            <v>938</v>
          </cell>
        </row>
        <row r="444">
          <cell r="C444" t="str">
            <v>PP2N-OS6465</v>
          </cell>
        </row>
        <row r="444">
          <cell r="H444">
            <v>1764</v>
          </cell>
        </row>
        <row r="445">
          <cell r="C445" t="str">
            <v>PP3N-OS6465</v>
          </cell>
        </row>
        <row r="445">
          <cell r="H445">
            <v>2576</v>
          </cell>
        </row>
        <row r="446">
          <cell r="C446" t="str">
            <v>PP5N-OS6465</v>
          </cell>
        </row>
        <row r="446">
          <cell r="H446">
            <v>4004</v>
          </cell>
        </row>
        <row r="447">
          <cell r="C447" t="str">
            <v>PP8N-OS6465</v>
          </cell>
        </row>
        <row r="447">
          <cell r="H447" t="str">
            <v>Per Quote</v>
          </cell>
        </row>
        <row r="448">
          <cell r="C448" t="str">
            <v>PP10-OS6465</v>
          </cell>
        </row>
        <row r="448">
          <cell r="H448" t="str">
            <v>Per Quote</v>
          </cell>
        </row>
        <row r="449">
          <cell r="C449" t="str">
            <v>PPM1-OS6450-10</v>
          </cell>
        </row>
        <row r="449">
          <cell r="H449">
            <v>68</v>
          </cell>
        </row>
        <row r="450">
          <cell r="C450" t="str">
            <v>PPM1-OS6450</v>
          </cell>
        </row>
        <row r="450">
          <cell r="H450">
            <v>106</v>
          </cell>
        </row>
        <row r="451">
          <cell r="C451" t="str">
            <v>PWM1-OS6450-10</v>
          </cell>
        </row>
        <row r="451">
          <cell r="H451">
            <v>36</v>
          </cell>
        </row>
        <row r="452">
          <cell r="C452" t="str">
            <v>PWM1-OS6450</v>
          </cell>
        </row>
        <row r="452">
          <cell r="H452">
            <v>61</v>
          </cell>
        </row>
        <row r="453">
          <cell r="C453" t="str">
            <v>PP1N-OS6450-10</v>
          </cell>
        </row>
        <row r="453">
          <cell r="H453">
            <v>812</v>
          </cell>
        </row>
        <row r="454">
          <cell r="C454" t="str">
            <v>PW1N-OS6450-10</v>
          </cell>
        </row>
        <row r="454">
          <cell r="H454">
            <v>434</v>
          </cell>
        </row>
        <row r="455">
          <cell r="C455" t="str">
            <v>OS6360-P48</v>
          </cell>
        </row>
        <row r="455">
          <cell r="H455">
            <v>81926</v>
          </cell>
        </row>
        <row r="456">
          <cell r="C456" t="str">
            <v>OS6360-P24</v>
          </cell>
        </row>
        <row r="456">
          <cell r="H456">
            <v>47058</v>
          </cell>
        </row>
        <row r="457">
          <cell r="C457" t="str">
            <v>OS6360-P10</v>
          </cell>
        </row>
        <row r="457">
          <cell r="H457">
            <v>28566</v>
          </cell>
        </row>
        <row r="458">
          <cell r="C458" t="str">
            <v>OS6360-P24X</v>
          </cell>
        </row>
        <row r="458">
          <cell r="H458">
            <v>81926</v>
          </cell>
        </row>
        <row r="459">
          <cell r="C459" t="str">
            <v>OS6360-P48X</v>
          </cell>
        </row>
        <row r="459">
          <cell r="H459">
            <v>144118</v>
          </cell>
        </row>
        <row r="460">
          <cell r="C460" t="str">
            <v>OS6360-PH24</v>
          </cell>
        </row>
        <row r="460">
          <cell r="H460">
            <v>58075</v>
          </cell>
        </row>
        <row r="461">
          <cell r="C461" t="str">
            <v>OS6360-PH48</v>
          </cell>
        </row>
        <row r="461">
          <cell r="H461">
            <v>120221</v>
          </cell>
        </row>
        <row r="462">
          <cell r="C462" t="str">
            <v>OS6360-48</v>
          </cell>
        </row>
        <row r="462">
          <cell r="H462">
            <v>49174</v>
          </cell>
        </row>
        <row r="463">
          <cell r="C463" t="str">
            <v>OS6360-24</v>
          </cell>
        </row>
        <row r="463">
          <cell r="H463">
            <v>27048</v>
          </cell>
        </row>
        <row r="464">
          <cell r="C464" t="str">
            <v>OS6360-10</v>
          </cell>
        </row>
        <row r="464">
          <cell r="H464">
            <v>20654</v>
          </cell>
        </row>
        <row r="465">
          <cell r="C465" t="str">
            <v>OS6360-CBL-1M</v>
          </cell>
        </row>
        <row r="465">
          <cell r="H465">
            <v>3634</v>
          </cell>
        </row>
        <row r="466">
          <cell r="C466" t="str">
            <v>OS6360-CBL-3M</v>
          </cell>
        </row>
        <row r="466">
          <cell r="H466">
            <v>4830</v>
          </cell>
        </row>
        <row r="467">
          <cell r="C467" t="str">
            <v>OS6360-CBL-60CM</v>
          </cell>
        </row>
        <row r="467">
          <cell r="H467">
            <v>3772</v>
          </cell>
        </row>
        <row r="468">
          <cell r="C468" t="str">
            <v>OS6360-RM-19-L</v>
          </cell>
        </row>
        <row r="468">
          <cell r="H468">
            <v>529</v>
          </cell>
        </row>
        <row r="469">
          <cell r="C469" t="str">
            <v>OS6360-SW-PERF</v>
          </cell>
        </row>
        <row r="469">
          <cell r="H469">
            <v>23874</v>
          </cell>
        </row>
        <row r="470">
          <cell r="C470" t="str">
            <v>OS6360-WALL-MNT</v>
          </cell>
        </row>
        <row r="470">
          <cell r="H470">
            <v>529</v>
          </cell>
        </row>
        <row r="471">
          <cell r="C471" t="str">
            <v>PW3N-OS6360</v>
          </cell>
        </row>
        <row r="471">
          <cell r="H471">
            <v>728</v>
          </cell>
        </row>
        <row r="472">
          <cell r="C472" t="str">
            <v>PW5N-OS6360</v>
          </cell>
        </row>
        <row r="472">
          <cell r="H472">
            <v>1134</v>
          </cell>
        </row>
        <row r="473">
          <cell r="C473" t="str">
            <v>PP1N-OS6360</v>
          </cell>
        </row>
        <row r="473">
          <cell r="H473">
            <v>490</v>
          </cell>
        </row>
        <row r="474">
          <cell r="C474" t="str">
            <v>PP3N-OS6360</v>
          </cell>
        </row>
        <row r="474">
          <cell r="H474">
            <v>1358</v>
          </cell>
        </row>
        <row r="475">
          <cell r="C475" t="str">
            <v>PP5N-OS6360</v>
          </cell>
        </row>
        <row r="475">
          <cell r="H475">
            <v>2100</v>
          </cell>
        </row>
        <row r="476">
          <cell r="C476" t="str">
            <v>PW3N-OS6360-10</v>
          </cell>
        </row>
        <row r="476">
          <cell r="H476">
            <v>462</v>
          </cell>
        </row>
        <row r="477">
          <cell r="C477" t="str">
            <v>PW5N-OS6360-10</v>
          </cell>
        </row>
        <row r="477">
          <cell r="H477">
            <v>728</v>
          </cell>
        </row>
        <row r="478">
          <cell r="C478" t="str">
            <v>PP1N-OS6360-10</v>
          </cell>
        </row>
        <row r="478">
          <cell r="H478">
            <v>336</v>
          </cell>
        </row>
        <row r="479">
          <cell r="C479" t="str">
            <v>PP3N-OS6360-10</v>
          </cell>
        </row>
        <row r="479">
          <cell r="H479">
            <v>910</v>
          </cell>
        </row>
        <row r="480">
          <cell r="C480" t="str">
            <v>PP5N-OS6360-10</v>
          </cell>
        </row>
        <row r="480">
          <cell r="H480">
            <v>1428</v>
          </cell>
        </row>
        <row r="481">
          <cell r="C481" t="str">
            <v>PPM1-OS6360-10</v>
          </cell>
        </row>
        <row r="481">
          <cell r="H481">
            <v>28</v>
          </cell>
        </row>
        <row r="482">
          <cell r="C482" t="str">
            <v>PPM1-OS6360</v>
          </cell>
        </row>
        <row r="482">
          <cell r="H482">
            <v>41</v>
          </cell>
        </row>
        <row r="483">
          <cell r="C483" t="str">
            <v>PWM1-OS6360-10</v>
          </cell>
        </row>
        <row r="483">
          <cell r="H483">
            <v>14</v>
          </cell>
        </row>
        <row r="484">
          <cell r="C484" t="str">
            <v>PWM1-OS6360</v>
          </cell>
        </row>
        <row r="484">
          <cell r="H484">
            <v>22</v>
          </cell>
        </row>
        <row r="485">
          <cell r="C485" t="str">
            <v>PW1N-OS6360</v>
          </cell>
        </row>
        <row r="485">
          <cell r="H485">
            <v>266</v>
          </cell>
        </row>
        <row r="486">
          <cell r="C486" t="str">
            <v>PP2N-OS6360</v>
          </cell>
        </row>
        <row r="486">
          <cell r="H486">
            <v>938</v>
          </cell>
        </row>
        <row r="487">
          <cell r="C487" t="str">
            <v>PW2N-OS6360</v>
          </cell>
        </row>
        <row r="487">
          <cell r="H487">
            <v>504</v>
          </cell>
        </row>
        <row r="488">
          <cell r="C488" t="str">
            <v>PW1N-OS6360-10</v>
          </cell>
        </row>
        <row r="488">
          <cell r="H488">
            <v>168</v>
          </cell>
        </row>
        <row r="489">
          <cell r="C489" t="str">
            <v>PP2N-OS6360-10</v>
          </cell>
        </row>
        <row r="489">
          <cell r="H489">
            <v>630</v>
          </cell>
        </row>
        <row r="490">
          <cell r="C490" t="str">
            <v>PW2N-OS6360-10</v>
          </cell>
        </row>
        <row r="490">
          <cell r="H490">
            <v>322</v>
          </cell>
        </row>
        <row r="491">
          <cell r="C491" t="str">
            <v>PP10-OS6360</v>
          </cell>
        </row>
        <row r="491">
          <cell r="H491" t="str">
            <v>Per Quote</v>
          </cell>
        </row>
        <row r="492">
          <cell r="C492" t="str">
            <v>PP10-OS6360-10</v>
          </cell>
        </row>
        <row r="492">
          <cell r="H492" t="str">
            <v>Per Quote</v>
          </cell>
        </row>
        <row r="493">
          <cell r="C493" t="str">
            <v>PP8N-OS6360</v>
          </cell>
        </row>
        <row r="493">
          <cell r="H493" t="str">
            <v>Per Quote</v>
          </cell>
        </row>
        <row r="494">
          <cell r="C494" t="str">
            <v>PP8N-OS6360-10</v>
          </cell>
        </row>
        <row r="494">
          <cell r="H494" t="str">
            <v>Per Quote</v>
          </cell>
        </row>
        <row r="495">
          <cell r="C495" t="str">
            <v>PW10-OS6360</v>
          </cell>
        </row>
        <row r="495">
          <cell r="H495" t="str">
            <v>Per Quote</v>
          </cell>
        </row>
        <row r="496">
          <cell r="C496" t="str">
            <v>PW10-OS6360-10</v>
          </cell>
        </row>
        <row r="496">
          <cell r="H496" t="str">
            <v>Per Quote</v>
          </cell>
        </row>
        <row r="497">
          <cell r="C497" t="str">
            <v>PW8N-OS6360</v>
          </cell>
        </row>
        <row r="497">
          <cell r="H497" t="str">
            <v>Per Quote</v>
          </cell>
        </row>
        <row r="498">
          <cell r="C498" t="str">
            <v>PW8N-OS6360-10</v>
          </cell>
        </row>
        <row r="498">
          <cell r="H498" t="str">
            <v>Per Quote</v>
          </cell>
        </row>
        <row r="499">
          <cell r="C499" t="str">
            <v>PPM1-OS6350-10</v>
          </cell>
        </row>
        <row r="499">
          <cell r="H499">
            <v>36</v>
          </cell>
        </row>
        <row r="500">
          <cell r="C500" t="str">
            <v>PPM1-OS6350</v>
          </cell>
        </row>
        <row r="500">
          <cell r="H500">
            <v>54</v>
          </cell>
        </row>
        <row r="501">
          <cell r="C501" t="str">
            <v>PWM1-OS6350-10</v>
          </cell>
        </row>
        <row r="501">
          <cell r="H501">
            <v>21</v>
          </cell>
        </row>
        <row r="502">
          <cell r="C502" t="str">
            <v>PWM1-OS6350</v>
          </cell>
        </row>
        <row r="502">
          <cell r="H502">
            <v>31</v>
          </cell>
        </row>
        <row r="503">
          <cell r="C503" t="str">
            <v>PP1N-OS6350-10</v>
          </cell>
        </row>
        <row r="503">
          <cell r="H503">
            <v>442</v>
          </cell>
        </row>
        <row r="504">
          <cell r="C504" t="str">
            <v>PP1N-OS6350</v>
          </cell>
        </row>
        <row r="504">
          <cell r="H504">
            <v>650</v>
          </cell>
        </row>
        <row r="505">
          <cell r="C505" t="str">
            <v>PP2N-OS6350-10</v>
          </cell>
        </row>
        <row r="505">
          <cell r="H505">
            <v>819</v>
          </cell>
        </row>
        <row r="506">
          <cell r="C506" t="str">
            <v>PP2N-OS6350</v>
          </cell>
        </row>
        <row r="506">
          <cell r="H506">
            <v>1209</v>
          </cell>
        </row>
        <row r="507">
          <cell r="C507" t="str">
            <v>PW1N-OS6350-10</v>
          </cell>
        </row>
        <row r="507">
          <cell r="H507">
            <v>247</v>
          </cell>
        </row>
        <row r="508">
          <cell r="C508" t="str">
            <v>PW1N-OS6350</v>
          </cell>
        </row>
        <row r="508">
          <cell r="H508">
            <v>364</v>
          </cell>
        </row>
        <row r="509">
          <cell r="C509" t="str">
            <v>PW2N-OS6350-10</v>
          </cell>
        </row>
        <row r="509">
          <cell r="H509">
            <v>468</v>
          </cell>
        </row>
        <row r="510">
          <cell r="C510" t="str">
            <v>PW2N-OS6350</v>
          </cell>
        </row>
        <row r="510">
          <cell r="H510">
            <v>689</v>
          </cell>
        </row>
        <row r="511">
          <cell r="C511" t="str">
            <v>PPM1-OS6250</v>
          </cell>
        </row>
        <row r="511">
          <cell r="H511">
            <v>43.68</v>
          </cell>
        </row>
        <row r="512">
          <cell r="C512" t="str">
            <v>PW1N-OS6250</v>
          </cell>
        </row>
        <row r="512">
          <cell r="H512">
            <v>280</v>
          </cell>
        </row>
        <row r="513">
          <cell r="C513" t="str">
            <v>PWM1-OS6250</v>
          </cell>
        </row>
        <row r="513">
          <cell r="H513">
            <v>23.8</v>
          </cell>
        </row>
        <row r="514">
          <cell r="C514" t="str">
            <v>OS2260-10</v>
          </cell>
        </row>
        <row r="514">
          <cell r="H514">
            <v>6530.16</v>
          </cell>
        </row>
        <row r="515">
          <cell r="C515" t="str">
            <v>OS2260-P10</v>
          </cell>
        </row>
        <row r="515">
          <cell r="H515">
            <v>11396.385</v>
          </cell>
        </row>
        <row r="516">
          <cell r="C516" t="str">
            <v>OS2260-24</v>
          </cell>
        </row>
        <row r="516">
          <cell r="H516">
            <v>12244.05</v>
          </cell>
        </row>
        <row r="517">
          <cell r="C517" t="str">
            <v>OS2260-48</v>
          </cell>
        </row>
        <row r="517">
          <cell r="H517">
            <v>22792.77</v>
          </cell>
        </row>
        <row r="518">
          <cell r="C518" t="str">
            <v>OS2260-P24X</v>
          </cell>
        </row>
        <row r="518">
          <cell r="H518">
            <v>19935.825</v>
          </cell>
        </row>
        <row r="519">
          <cell r="C519" t="str">
            <v>OS2260-P48X</v>
          </cell>
        </row>
        <row r="519">
          <cell r="H519">
            <v>31363.605</v>
          </cell>
        </row>
        <row r="520">
          <cell r="C520" t="str">
            <v>OS2360-24</v>
          </cell>
        </row>
        <row r="520">
          <cell r="H520">
            <v>20092.8</v>
          </cell>
        </row>
        <row r="521">
          <cell r="C521" t="str">
            <v>OS2360-P24</v>
          </cell>
        </row>
        <row r="521">
          <cell r="H521">
            <v>32871.8208</v>
          </cell>
        </row>
        <row r="522">
          <cell r="C522" t="str">
            <v>OS2360-48</v>
          </cell>
        </row>
        <row r="522">
          <cell r="H522">
            <v>36167.04</v>
          </cell>
        </row>
        <row r="523">
          <cell r="C523" t="str">
            <v>OS2360-P48</v>
          </cell>
        </row>
        <row r="523">
          <cell r="H523">
            <v>62086.752</v>
          </cell>
        </row>
        <row r="524">
          <cell r="C524" t="str">
            <v>OS2360-P24X</v>
          </cell>
        </row>
        <row r="524">
          <cell r="H524">
            <v>58470.048</v>
          </cell>
        </row>
        <row r="525">
          <cell r="C525" t="str">
            <v>OS2360-P48X</v>
          </cell>
        </row>
        <row r="525">
          <cell r="H525">
            <v>80371.2</v>
          </cell>
        </row>
        <row r="526">
          <cell r="C526" t="str">
            <v>OS2360-U24X</v>
          </cell>
        </row>
        <row r="526">
          <cell r="H526">
            <v>69607.2</v>
          </cell>
        </row>
        <row r="527">
          <cell r="C527" t="str">
            <v>OS2360-U48X</v>
          </cell>
        </row>
        <row r="527">
          <cell r="H527">
            <v>104410.8</v>
          </cell>
        </row>
        <row r="528">
          <cell r="C528" t="str">
            <v>OS2360-P24M</v>
          </cell>
        </row>
        <row r="528">
          <cell r="H528">
            <v>62086</v>
          </cell>
        </row>
        <row r="529">
          <cell r="C529" t="str">
            <v>OS6560-BP-PX</v>
          </cell>
        </row>
        <row r="529">
          <cell r="H529">
            <v>30515</v>
          </cell>
        </row>
        <row r="530">
          <cell r="C530" t="str">
            <v>OS2X60-SW-PERF</v>
          </cell>
        </row>
        <row r="530">
          <cell r="H530">
            <v>22724</v>
          </cell>
        </row>
        <row r="531">
          <cell r="C531" t="str">
            <v>PWR-CORD-2M-CN</v>
          </cell>
        </row>
        <row r="531">
          <cell r="H531">
            <v>0</v>
          </cell>
        </row>
        <row r="532">
          <cell r="C532" t="str">
            <v>SFP-10G-C1M</v>
          </cell>
        </row>
        <row r="532">
          <cell r="H532">
            <v>2716.875</v>
          </cell>
        </row>
        <row r="533">
          <cell r="C533" t="str">
            <v>SFP-10G-C3M</v>
          </cell>
        </row>
        <row r="533">
          <cell r="H533">
            <v>3622.5</v>
          </cell>
        </row>
        <row r="534">
          <cell r="C534" t="str">
            <v>SFP-10G-C60CM</v>
          </cell>
        </row>
        <row r="534">
          <cell r="H534">
            <v>3387.3</v>
          </cell>
        </row>
        <row r="535">
          <cell r="C535" t="str">
            <v>OS6360-RM-19-L</v>
          </cell>
        </row>
        <row r="535">
          <cell r="H535">
            <v>478.4</v>
          </cell>
        </row>
        <row r="536">
          <cell r="C536" t="str">
            <v>OS6360-WALL-MNT</v>
          </cell>
        </row>
        <row r="536">
          <cell r="H536">
            <v>478.4</v>
          </cell>
        </row>
        <row r="537">
          <cell r="C537" t="str">
            <v>PPM1-OS2200</v>
          </cell>
        </row>
        <row r="537">
          <cell r="H537">
            <v>38.7816</v>
          </cell>
        </row>
        <row r="538">
          <cell r="C538" t="str">
            <v>PWM1-OS2200</v>
          </cell>
        </row>
        <row r="538">
          <cell r="H538">
            <v>21</v>
          </cell>
        </row>
        <row r="539">
          <cell r="C539" t="str">
            <v>PP1N-OS2200</v>
          </cell>
        </row>
        <row r="539">
          <cell r="H539">
            <v>461.04</v>
          </cell>
        </row>
        <row r="540">
          <cell r="C540" t="str">
            <v>PP2N-OS2200</v>
          </cell>
        </row>
        <row r="540">
          <cell r="H540">
            <v>881.4</v>
          </cell>
        </row>
        <row r="541">
          <cell r="C541" t="str">
            <v>PW1N-OS2200</v>
          </cell>
        </row>
        <row r="541">
          <cell r="H541">
            <v>257.64</v>
          </cell>
        </row>
        <row r="542">
          <cell r="C542" t="str">
            <v>PW2N-OS2200</v>
          </cell>
        </row>
        <row r="542">
          <cell r="H542">
            <v>474.6</v>
          </cell>
        </row>
        <row r="543">
          <cell r="C543" t="str">
            <v>OS2160-8</v>
          </cell>
        </row>
        <row r="543">
          <cell r="H543">
            <v>6300</v>
          </cell>
        </row>
        <row r="544">
          <cell r="C544" t="str">
            <v>OS2160-P8</v>
          </cell>
        </row>
        <row r="544">
          <cell r="H544">
            <v>10500</v>
          </cell>
        </row>
        <row r="545">
          <cell r="C545" t="str">
            <v>OS2160-24</v>
          </cell>
        </row>
        <row r="545">
          <cell r="H545">
            <v>11550</v>
          </cell>
        </row>
        <row r="546">
          <cell r="C546" t="str">
            <v>OS2160-P24</v>
          </cell>
        </row>
        <row r="546">
          <cell r="H546">
            <v>19175</v>
          </cell>
        </row>
        <row r="547">
          <cell r="C547" t="str">
            <v>OS2560-24</v>
          </cell>
        </row>
        <row r="547">
          <cell r="H547">
            <v>79050</v>
          </cell>
        </row>
        <row r="548">
          <cell r="C548" t="str">
            <v>OS2560-48</v>
          </cell>
        </row>
        <row r="548">
          <cell r="H548">
            <v>95315</v>
          </cell>
        </row>
        <row r="549">
          <cell r="C549" t="str">
            <v>OS2560-P24V</v>
          </cell>
        </row>
        <row r="549">
          <cell r="H549">
            <v>91800</v>
          </cell>
        </row>
        <row r="550">
          <cell r="C550" t="str">
            <v>OS2560-P48V</v>
          </cell>
        </row>
        <row r="550">
          <cell r="H550">
            <v>102000</v>
          </cell>
        </row>
        <row r="551">
          <cell r="C551" t="str">
            <v>OS2560-U48X</v>
          </cell>
        </row>
        <row r="551">
          <cell r="H551">
            <v>94350</v>
          </cell>
        </row>
        <row r="552">
          <cell r="C552" t="str">
            <v>OS2960-X24C2</v>
          </cell>
        </row>
        <row r="552">
          <cell r="H552">
            <v>181250</v>
          </cell>
        </row>
        <row r="553">
          <cell r="C553" t="str">
            <v>OS2960-X48C8</v>
          </cell>
        </row>
        <row r="553">
          <cell r="H553">
            <v>306000</v>
          </cell>
        </row>
        <row r="554">
          <cell r="C554" t="str">
            <v>OS2960-D32</v>
          </cell>
        </row>
        <row r="554">
          <cell r="H554">
            <v>858333</v>
          </cell>
        </row>
        <row r="555">
          <cell r="C555" t="str">
            <v>OS2960-C32</v>
          </cell>
        </row>
        <row r="555">
          <cell r="H555">
            <v>510000</v>
          </cell>
        </row>
        <row r="556">
          <cell r="C556" t="str">
            <v>OS2960-V24C4</v>
          </cell>
        </row>
        <row r="556">
          <cell r="H556">
            <v>306000</v>
          </cell>
        </row>
        <row r="557">
          <cell r="C557" t="str">
            <v>OS2960-V48C8</v>
          </cell>
        </row>
        <row r="557">
          <cell r="H557">
            <v>326400</v>
          </cell>
        </row>
        <row r="558">
          <cell r="C558" t="str">
            <v>QSFP-200G-A20M</v>
          </cell>
        </row>
        <row r="558">
          <cell r="H558">
            <v>58500</v>
          </cell>
        </row>
        <row r="559">
          <cell r="C559" t="str">
            <v>QSFP-200G-C1M</v>
          </cell>
        </row>
        <row r="559">
          <cell r="H559">
            <v>8100</v>
          </cell>
        </row>
        <row r="560">
          <cell r="C560" t="str">
            <v>QSFP-200G-C3M</v>
          </cell>
        </row>
        <row r="560">
          <cell r="H560">
            <v>11700</v>
          </cell>
        </row>
        <row r="561">
          <cell r="C561" t="str">
            <v>QSFP-200G-C50CM</v>
          </cell>
        </row>
        <row r="561">
          <cell r="H561">
            <v>5400</v>
          </cell>
        </row>
        <row r="562">
          <cell r="C562" t="str">
            <v>QSFP-200G-FR4</v>
          </cell>
        </row>
        <row r="562">
          <cell r="H562">
            <v>107910</v>
          </cell>
        </row>
        <row r="563">
          <cell r="C563" t="str">
            <v>QSFP-200G-SR4</v>
          </cell>
        </row>
        <row r="563">
          <cell r="H563">
            <v>53910</v>
          </cell>
        </row>
        <row r="564">
          <cell r="C564" t="str">
            <v>QSFP-400G-SR4.2</v>
          </cell>
        </row>
        <row r="564">
          <cell r="H564">
            <v>153000</v>
          </cell>
        </row>
        <row r="565">
          <cell r="C565" t="str">
            <v>QSFPD-400-C50CM</v>
          </cell>
        </row>
        <row r="565">
          <cell r="H565">
            <v>11900</v>
          </cell>
        </row>
        <row r="566">
          <cell r="C566" t="str">
            <v>QSFPD-400G-C1M</v>
          </cell>
        </row>
        <row r="566">
          <cell r="H566">
            <v>13600</v>
          </cell>
        </row>
        <row r="567">
          <cell r="C567" t="str">
            <v>QSFPD-400G-C3M</v>
          </cell>
        </row>
        <row r="567">
          <cell r="H567">
            <v>28900</v>
          </cell>
        </row>
        <row r="568">
          <cell r="C568" t="str">
            <v>QSFPD-400G-A10M</v>
          </cell>
        </row>
        <row r="568">
          <cell r="H568">
            <v>68000</v>
          </cell>
        </row>
        <row r="569">
          <cell r="C569" t="str">
            <v>QSFPD-400G-DR4</v>
          </cell>
        </row>
        <row r="569">
          <cell r="H569">
            <v>83300</v>
          </cell>
        </row>
        <row r="570">
          <cell r="C570" t="str">
            <v>QSFPD-400G-FR4</v>
          </cell>
        </row>
        <row r="570">
          <cell r="H570">
            <v>110500</v>
          </cell>
        </row>
        <row r="571">
          <cell r="C571" t="str">
            <v>QSFPD-400G-LR4</v>
          </cell>
        </row>
        <row r="571">
          <cell r="H571">
            <v>170000</v>
          </cell>
        </row>
        <row r="572">
          <cell r="C572" t="str">
            <v>QSFP-2XQ200-C1M</v>
          </cell>
        </row>
        <row r="572">
          <cell r="H572">
            <v>17000</v>
          </cell>
        </row>
        <row r="573">
          <cell r="C573" t="str">
            <v>QSFP-2XQ200-C3M</v>
          </cell>
        </row>
        <row r="573">
          <cell r="H573">
            <v>25500</v>
          </cell>
        </row>
        <row r="574">
          <cell r="C574" t="str">
            <v>QSFPD-2Q100-C1M</v>
          </cell>
        </row>
        <row r="574">
          <cell r="H574">
            <v>14960</v>
          </cell>
        </row>
        <row r="575">
          <cell r="C575" t="str">
            <v>QSFPD-2Q100-C3M</v>
          </cell>
        </row>
        <row r="575">
          <cell r="H575">
            <v>23800</v>
          </cell>
        </row>
        <row r="576">
          <cell r="C576" t="str">
            <v>QSFP-2XQ100-C1M</v>
          </cell>
        </row>
        <row r="576">
          <cell r="H576">
            <v>14960</v>
          </cell>
        </row>
        <row r="577">
          <cell r="C577" t="str">
            <v>QSFP-2XQ100-C3M</v>
          </cell>
        </row>
        <row r="577">
          <cell r="H577">
            <v>23800</v>
          </cell>
        </row>
        <row r="578">
          <cell r="C578" t="str">
            <v>ISFP-100-MM</v>
          </cell>
        </row>
        <row r="578">
          <cell r="H578">
            <v>4528.125</v>
          </cell>
        </row>
        <row r="579">
          <cell r="C579" t="str">
            <v>ISFP-100-SM15</v>
          </cell>
        </row>
        <row r="579">
          <cell r="H579">
            <v>8150.625</v>
          </cell>
        </row>
        <row r="580">
          <cell r="C580" t="str">
            <v>SFP-100-BXLC-D</v>
          </cell>
        </row>
        <row r="580">
          <cell r="H580">
            <v>5343.1875</v>
          </cell>
        </row>
        <row r="581">
          <cell r="C581" t="str">
            <v>SFP-100-BXLC-U</v>
          </cell>
        </row>
        <row r="581">
          <cell r="H581">
            <v>5343.1875</v>
          </cell>
        </row>
        <row r="582">
          <cell r="C582" t="str">
            <v>SFP-100-LC-MM</v>
          </cell>
        </row>
        <row r="582">
          <cell r="H582">
            <v>2626.3125</v>
          </cell>
        </row>
        <row r="583">
          <cell r="C583" t="str">
            <v>SFP-100-LC-SM15</v>
          </cell>
        </row>
        <row r="583">
          <cell r="H583">
            <v>5959.0125</v>
          </cell>
        </row>
        <row r="584">
          <cell r="C584" t="str">
            <v>SFP-DUAL-BX-D</v>
          </cell>
        </row>
        <row r="584">
          <cell r="H584">
            <v>23455.6875</v>
          </cell>
        </row>
        <row r="585">
          <cell r="C585" t="str">
            <v>SFP-DUAL-BX-U</v>
          </cell>
        </row>
        <row r="585">
          <cell r="H585">
            <v>23455.6875</v>
          </cell>
        </row>
        <row r="586">
          <cell r="C586" t="str">
            <v>ISFP-GIG-BX-D</v>
          </cell>
        </row>
        <row r="586">
          <cell r="H586">
            <v>28980</v>
          </cell>
        </row>
        <row r="587">
          <cell r="C587" t="str">
            <v>ISFP-GIG-BX-U</v>
          </cell>
        </row>
        <row r="587">
          <cell r="H587">
            <v>28980</v>
          </cell>
        </row>
        <row r="588">
          <cell r="C588" t="str">
            <v>ISFP-GIG-LH40</v>
          </cell>
        </row>
        <row r="588">
          <cell r="H588">
            <v>39847.5</v>
          </cell>
        </row>
        <row r="589">
          <cell r="C589" t="str">
            <v>ISFP-GIG-LH70</v>
          </cell>
        </row>
        <row r="589">
          <cell r="H589">
            <v>94185</v>
          </cell>
        </row>
        <row r="590">
          <cell r="C590" t="str">
            <v>ISFP-GIG-LX</v>
          </cell>
        </row>
        <row r="590">
          <cell r="H590">
            <v>12588.1875</v>
          </cell>
        </row>
        <row r="591">
          <cell r="C591" t="str">
            <v>ISFP-GIG-SX</v>
          </cell>
        </row>
        <row r="591">
          <cell r="H591">
            <v>8150.625</v>
          </cell>
        </row>
        <row r="592">
          <cell r="C592" t="str">
            <v>ISFP-GIG-T</v>
          </cell>
        </row>
        <row r="592">
          <cell r="H592">
            <v>8150.625</v>
          </cell>
        </row>
        <row r="593">
          <cell r="C593" t="str">
            <v>ISFP-10G-SR</v>
          </cell>
        </row>
        <row r="593">
          <cell r="H593">
            <v>9418.5</v>
          </cell>
        </row>
        <row r="594">
          <cell r="C594" t="str">
            <v>ISFP-10G-ZR</v>
          </cell>
        </row>
        <row r="594">
          <cell r="H594">
            <v>271596.15</v>
          </cell>
        </row>
        <row r="595">
          <cell r="C595" t="str">
            <v>SFP-GIG-BX-D</v>
          </cell>
        </row>
        <row r="595">
          <cell r="H595">
            <v>25357.5</v>
          </cell>
        </row>
        <row r="596">
          <cell r="C596" t="str">
            <v>SFP-GIG-BX-D20</v>
          </cell>
        </row>
        <row r="596">
          <cell r="H596">
            <v>32602.5</v>
          </cell>
        </row>
        <row r="597">
          <cell r="C597" t="str">
            <v>SFP-GIG-BX-D40</v>
          </cell>
        </row>
        <row r="597">
          <cell r="H597">
            <v>68827.5</v>
          </cell>
        </row>
        <row r="598">
          <cell r="C598" t="str">
            <v>SFP-GIG-BX-U</v>
          </cell>
        </row>
        <row r="598">
          <cell r="H598">
            <v>25357.5</v>
          </cell>
        </row>
        <row r="599">
          <cell r="C599" t="str">
            <v>SFP-GIG-BX-U20</v>
          </cell>
        </row>
        <row r="599">
          <cell r="H599">
            <v>32602.5</v>
          </cell>
        </row>
        <row r="600">
          <cell r="C600" t="str">
            <v>SFP-GIG-BX-U40</v>
          </cell>
        </row>
        <row r="600">
          <cell r="H600">
            <v>68827.5</v>
          </cell>
        </row>
        <row r="601">
          <cell r="C601" t="str">
            <v>SFP-GIG-LH40</v>
          </cell>
        </row>
        <row r="601">
          <cell r="H601">
            <v>36134.4375</v>
          </cell>
        </row>
        <row r="602">
          <cell r="C602" t="str">
            <v>SFP-GIG-LH70</v>
          </cell>
        </row>
        <row r="602">
          <cell r="H602">
            <v>54246.9375</v>
          </cell>
        </row>
        <row r="603">
          <cell r="C603" t="str">
            <v>SFP-GIG-LX</v>
          </cell>
        </row>
        <row r="603">
          <cell r="H603">
            <v>8150.625</v>
          </cell>
        </row>
        <row r="604">
          <cell r="C604" t="str">
            <v>SFP-GIG-SX</v>
          </cell>
        </row>
        <row r="604">
          <cell r="H604">
            <v>4528.125</v>
          </cell>
        </row>
        <row r="605">
          <cell r="C605" t="str">
            <v>SFP-GIG-T</v>
          </cell>
        </row>
        <row r="605">
          <cell r="H605">
            <v>5343.1875</v>
          </cell>
        </row>
        <row r="606">
          <cell r="C606" t="str">
            <v>SFP-1G-T</v>
          </cell>
        </row>
        <row r="606">
          <cell r="H606">
            <v>5343.1875</v>
          </cell>
        </row>
        <row r="607">
          <cell r="C607" t="str">
            <v>ISFP-10G-ER</v>
          </cell>
        </row>
        <row r="607">
          <cell r="H607">
            <v>188279.4375</v>
          </cell>
        </row>
        <row r="608">
          <cell r="C608" t="str">
            <v>ISFP-10G-LR</v>
          </cell>
        </row>
        <row r="608">
          <cell r="H608">
            <v>72359.4375</v>
          </cell>
        </row>
        <row r="609">
          <cell r="C609" t="str">
            <v>SFP-10G-C60CM</v>
          </cell>
        </row>
        <row r="609">
          <cell r="H609">
            <v>2652</v>
          </cell>
        </row>
        <row r="610">
          <cell r="C610" t="str">
            <v>SFP-10G-C1M</v>
          </cell>
        </row>
        <row r="610">
          <cell r="H610">
            <v>2716.875</v>
          </cell>
        </row>
        <row r="611">
          <cell r="C611" t="str">
            <v>SFP-10G-C3M</v>
          </cell>
        </row>
        <row r="611">
          <cell r="H611">
            <v>3622.5</v>
          </cell>
        </row>
        <row r="612">
          <cell r="C612" t="str">
            <v>SFP-10G-C7M</v>
          </cell>
        </row>
        <row r="612">
          <cell r="H612">
            <v>5433.75</v>
          </cell>
        </row>
        <row r="613">
          <cell r="C613" t="str">
            <v>ISFP-10G-C1M</v>
          </cell>
        </row>
        <row r="613">
          <cell r="H613">
            <v>2716.5</v>
          </cell>
        </row>
        <row r="614">
          <cell r="C614" t="str">
            <v>ISFP-10G-C3M</v>
          </cell>
        </row>
        <row r="614">
          <cell r="H614">
            <v>3622</v>
          </cell>
        </row>
        <row r="615">
          <cell r="C615" t="str">
            <v>ISFP-10G-C7M</v>
          </cell>
        </row>
        <row r="615">
          <cell r="H615">
            <v>5433</v>
          </cell>
        </row>
        <row r="616">
          <cell r="C616" t="str">
            <v>SFP-10G-ER</v>
          </cell>
        </row>
        <row r="616">
          <cell r="H616">
            <v>108584.4375</v>
          </cell>
        </row>
        <row r="617">
          <cell r="C617" t="str">
            <v>SFP-10G-GIG-LR</v>
          </cell>
        </row>
        <row r="617">
          <cell r="H617">
            <v>72359.4375</v>
          </cell>
        </row>
        <row r="618">
          <cell r="C618" t="str">
            <v>SFP-10G-GIG-SR</v>
          </cell>
        </row>
        <row r="618">
          <cell r="H618">
            <v>36134.4375</v>
          </cell>
        </row>
        <row r="619">
          <cell r="C619" t="str">
            <v>SFP-10G-LR</v>
          </cell>
        </row>
        <row r="619">
          <cell r="H619">
            <v>34413.75</v>
          </cell>
        </row>
        <row r="620">
          <cell r="C620" t="str">
            <v>SFP-10G-LRM</v>
          </cell>
        </row>
        <row r="620">
          <cell r="H620">
            <v>18021.9375</v>
          </cell>
        </row>
        <row r="621">
          <cell r="C621" t="str">
            <v>SFP-10G-SR</v>
          </cell>
        </row>
        <row r="621">
          <cell r="H621">
            <v>12678.75</v>
          </cell>
        </row>
        <row r="622">
          <cell r="C622" t="str">
            <v>SFP-10G-T</v>
          </cell>
        </row>
        <row r="622">
          <cell r="H622">
            <v>22640.625</v>
          </cell>
        </row>
        <row r="623">
          <cell r="C623" t="str">
            <v>SFP-10G-ZR</v>
          </cell>
        </row>
        <row r="623">
          <cell r="H623">
            <v>271596.9375</v>
          </cell>
        </row>
        <row r="624">
          <cell r="C624" t="str">
            <v>SFP-10G-BX-D</v>
          </cell>
        </row>
        <row r="624">
          <cell r="H624">
            <v>65205</v>
          </cell>
        </row>
        <row r="625">
          <cell r="C625" t="str">
            <v>SFP-10G-BX-U</v>
          </cell>
        </row>
        <row r="625">
          <cell r="H625">
            <v>65205</v>
          </cell>
        </row>
        <row r="626">
          <cell r="C626" t="str">
            <v>SFP-10G-CWDM</v>
          </cell>
        </row>
        <row r="626">
          <cell r="H626">
            <v>115920</v>
          </cell>
        </row>
        <row r="627">
          <cell r="C627" t="str">
            <v>SFP-50G-C1M</v>
          </cell>
        </row>
        <row r="627">
          <cell r="H627">
            <v>8100</v>
          </cell>
        </row>
        <row r="628">
          <cell r="C628" t="str">
            <v>SFP-50G-C3M</v>
          </cell>
        </row>
        <row r="628">
          <cell r="H628">
            <v>9900</v>
          </cell>
        </row>
        <row r="629">
          <cell r="C629" t="str">
            <v>SFP-50G-C50CM</v>
          </cell>
        </row>
        <row r="629">
          <cell r="H629">
            <v>5400</v>
          </cell>
        </row>
        <row r="630">
          <cell r="C630" t="str">
            <v>SFP-50G-FR</v>
          </cell>
        </row>
        <row r="630">
          <cell r="H630">
            <v>27000</v>
          </cell>
        </row>
        <row r="631">
          <cell r="C631" t="str">
            <v>SFP-50G-LR</v>
          </cell>
        </row>
        <row r="631">
          <cell r="H631">
            <v>53910</v>
          </cell>
        </row>
        <row r="632">
          <cell r="C632" t="str">
            <v>SFP-50G-SR</v>
          </cell>
        </row>
        <row r="632">
          <cell r="H632">
            <v>35910</v>
          </cell>
        </row>
        <row r="633">
          <cell r="C633" t="str">
            <v>QSFP-40G-AOC20M</v>
          </cell>
        </row>
        <row r="633">
          <cell r="H633">
            <v>36225</v>
          </cell>
        </row>
        <row r="634">
          <cell r="C634" t="str">
            <v>QSFP-40G-C1M</v>
          </cell>
        </row>
        <row r="634">
          <cell r="H634">
            <v>8150.625</v>
          </cell>
        </row>
        <row r="635">
          <cell r="C635" t="str">
            <v>QSFP-40G-C3M</v>
          </cell>
        </row>
        <row r="635">
          <cell r="H635">
            <v>9961.875</v>
          </cell>
        </row>
        <row r="636">
          <cell r="C636" t="str">
            <v>QSFP-40G-C40CM</v>
          </cell>
        </row>
        <row r="636">
          <cell r="H636">
            <v>6339.375</v>
          </cell>
        </row>
        <row r="637">
          <cell r="C637" t="str">
            <v>QSFP-40G-C7M</v>
          </cell>
        </row>
        <row r="637">
          <cell r="H637">
            <v>11773.125</v>
          </cell>
        </row>
        <row r="638">
          <cell r="C638" t="str">
            <v>QSFP-40G-LR</v>
          </cell>
        </row>
        <row r="638">
          <cell r="H638">
            <v>253575</v>
          </cell>
        </row>
        <row r="639">
          <cell r="C639" t="str">
            <v>QSFP-40G-CLR</v>
          </cell>
        </row>
        <row r="639">
          <cell r="H639">
            <v>81506.25</v>
          </cell>
        </row>
        <row r="640">
          <cell r="C640" t="str">
            <v>QSFP-40G-SR</v>
          </cell>
        </row>
        <row r="640">
          <cell r="H640">
            <v>27165</v>
          </cell>
        </row>
        <row r="641">
          <cell r="C641" t="str">
            <v>QSFP-4X10G-C1M</v>
          </cell>
        </row>
        <row r="641">
          <cell r="H641">
            <v>4890.375</v>
          </cell>
        </row>
        <row r="642">
          <cell r="C642" t="str">
            <v>QSFP-4X10G-C3M</v>
          </cell>
        </row>
        <row r="642">
          <cell r="H642">
            <v>6701.625</v>
          </cell>
        </row>
        <row r="643">
          <cell r="C643" t="str">
            <v>QSFP-4X10G-C5M</v>
          </cell>
        </row>
        <row r="643">
          <cell r="H643">
            <v>7607.25</v>
          </cell>
        </row>
        <row r="644">
          <cell r="C644" t="str">
            <v>QSFP-4X10G-SR</v>
          </cell>
        </row>
        <row r="644">
          <cell r="H644">
            <v>32059.125</v>
          </cell>
        </row>
        <row r="645">
          <cell r="C645" t="str">
            <v>QSFP-40G-ER</v>
          </cell>
        </row>
        <row r="645">
          <cell r="H645">
            <v>510772.5</v>
          </cell>
        </row>
        <row r="646">
          <cell r="C646" t="str">
            <v>QSFP-4X25G-C1M</v>
          </cell>
        </row>
        <row r="646">
          <cell r="H646">
            <v>14490</v>
          </cell>
        </row>
        <row r="647">
          <cell r="C647" t="str">
            <v>QSFP-4X25G-C3M</v>
          </cell>
        </row>
        <row r="647">
          <cell r="H647">
            <v>21735</v>
          </cell>
        </row>
        <row r="648">
          <cell r="C648" t="str">
            <v>QSFP-4X25G-C5M</v>
          </cell>
        </row>
        <row r="648">
          <cell r="H648">
            <v>39847.5</v>
          </cell>
        </row>
        <row r="649">
          <cell r="C649" t="str">
            <v>QSFP-100G-A20M</v>
          </cell>
        </row>
        <row r="649">
          <cell r="H649">
            <v>45281.25</v>
          </cell>
        </row>
        <row r="650">
          <cell r="C650" t="str">
            <v>QSFP-100G-C1M</v>
          </cell>
        </row>
        <row r="650">
          <cell r="H650">
            <v>8150.625</v>
          </cell>
        </row>
        <row r="651">
          <cell r="C651" t="str">
            <v>QSFP-100G-C3M</v>
          </cell>
        </row>
        <row r="651">
          <cell r="H651">
            <v>9961.875</v>
          </cell>
        </row>
        <row r="652">
          <cell r="C652" t="str">
            <v>QSFP-100G-C5M</v>
          </cell>
        </row>
        <row r="652">
          <cell r="H652">
            <v>12678.75</v>
          </cell>
        </row>
        <row r="653">
          <cell r="C653" t="str">
            <v>QSFP-100G-CLR4</v>
          </cell>
        </row>
        <row r="653">
          <cell r="H653">
            <v>144000</v>
          </cell>
        </row>
        <row r="654">
          <cell r="C654" t="str">
            <v>QSFP-100G-CWDM4</v>
          </cell>
        </row>
        <row r="654">
          <cell r="H654">
            <v>72000</v>
          </cell>
        </row>
        <row r="655">
          <cell r="C655" t="str">
            <v>QSFP-100G-ER4</v>
          </cell>
        </row>
        <row r="655">
          <cell r="H655">
            <v>652050</v>
          </cell>
        </row>
        <row r="656">
          <cell r="C656" t="str">
            <v>QSFP-100G-LR4</v>
          </cell>
        </row>
        <row r="656">
          <cell r="H656">
            <v>144000</v>
          </cell>
        </row>
        <row r="657">
          <cell r="C657" t="str">
            <v>QSFP-100G-SR4</v>
          </cell>
        </row>
        <row r="657">
          <cell r="H657">
            <v>54337.5</v>
          </cell>
        </row>
        <row r="658">
          <cell r="C658" t="str">
            <v>QSFP-100G-PSM4</v>
          </cell>
        </row>
        <row r="658">
          <cell r="H658">
            <v>84600</v>
          </cell>
        </row>
        <row r="659">
          <cell r="C659" t="str">
            <v>QSFP-100G-SR1.2</v>
          </cell>
        </row>
        <row r="659">
          <cell r="H659">
            <v>66300</v>
          </cell>
        </row>
        <row r="660">
          <cell r="C660" t="str">
            <v>QSFP-400G-DR4-CN</v>
          </cell>
        </row>
        <row r="660">
          <cell r="H660">
            <v>240000</v>
          </cell>
        </row>
        <row r="661">
          <cell r="C661" t="str">
            <v>SFP-25G-SR</v>
          </cell>
        </row>
        <row r="661">
          <cell r="H661">
            <v>21735</v>
          </cell>
        </row>
        <row r="662">
          <cell r="C662" t="str">
            <v>SFP-25G-CLR</v>
          </cell>
        </row>
        <row r="662">
          <cell r="H662">
            <v>43470</v>
          </cell>
        </row>
        <row r="663">
          <cell r="C663" t="str">
            <v>SFP-25G-ESR</v>
          </cell>
        </row>
        <row r="663">
          <cell r="H663">
            <v>17000</v>
          </cell>
        </row>
        <row r="664">
          <cell r="C664" t="str">
            <v>SFP-25G-LR</v>
          </cell>
        </row>
        <row r="664">
          <cell r="H664">
            <v>86940</v>
          </cell>
        </row>
        <row r="665">
          <cell r="C665" t="str">
            <v>SFP-25G-C5M</v>
          </cell>
        </row>
        <row r="665">
          <cell r="H665">
            <v>12588.1875</v>
          </cell>
        </row>
        <row r="666">
          <cell r="C666" t="str">
            <v>SFP-25G-C3M</v>
          </cell>
        </row>
        <row r="666">
          <cell r="H666">
            <v>9871.3125</v>
          </cell>
        </row>
        <row r="667">
          <cell r="C667" t="str">
            <v>SFP-25G-C1M</v>
          </cell>
        </row>
        <row r="667">
          <cell r="H667">
            <v>7154.4375</v>
          </cell>
        </row>
        <row r="668">
          <cell r="C668" t="str">
            <v>SFP-25G-A20M</v>
          </cell>
        </row>
        <row r="668">
          <cell r="H668">
            <v>41658.75</v>
          </cell>
        </row>
        <row r="669">
          <cell r="C669" t="str">
            <v>QSFP-40G-PSM4</v>
          </cell>
        </row>
        <row r="669">
          <cell r="H669">
            <v>102000</v>
          </cell>
        </row>
        <row r="670">
          <cell r="C670" t="str">
            <v>QSFP-100G-C40CM</v>
          </cell>
        </row>
        <row r="670">
          <cell r="H670">
            <v>5100</v>
          </cell>
        </row>
        <row r="671">
          <cell r="C671" t="str">
            <v>SFP-25G-BX-D40</v>
          </cell>
        </row>
        <row r="671">
          <cell r="H671">
            <v>89080</v>
          </cell>
        </row>
        <row r="672">
          <cell r="C672" t="str">
            <v>SFP-25G-BX-U40</v>
          </cell>
        </row>
        <row r="672">
          <cell r="H672">
            <v>89080</v>
          </cell>
        </row>
        <row r="673">
          <cell r="C673" t="str">
            <v>SFP-10G-LR-100P</v>
          </cell>
        </row>
        <row r="673">
          <cell r="H673">
            <v>629000</v>
          </cell>
        </row>
        <row r="674">
          <cell r="C674" t="str">
            <v>SFP-10G-LR-50P</v>
          </cell>
        </row>
        <row r="674">
          <cell r="H674">
            <v>425000</v>
          </cell>
        </row>
        <row r="675">
          <cell r="C675" t="str">
            <v>SFP-10G-SR-100P</v>
          </cell>
        </row>
        <row r="675">
          <cell r="H675">
            <v>238000</v>
          </cell>
        </row>
        <row r="676">
          <cell r="C676" t="str">
            <v>SFP-10G-SR-50P</v>
          </cell>
        </row>
        <row r="676">
          <cell r="H676">
            <v>153000</v>
          </cell>
        </row>
        <row r="677">
          <cell r="C677" t="str">
            <v>SFP-GIG-LX-100P</v>
          </cell>
        </row>
        <row r="677">
          <cell r="H677">
            <v>136000</v>
          </cell>
        </row>
        <row r="678">
          <cell r="C678" t="str">
            <v>SFP-GIG-LX-50P</v>
          </cell>
        </row>
        <row r="678">
          <cell r="H678">
            <v>93500</v>
          </cell>
        </row>
        <row r="679">
          <cell r="C679" t="str">
            <v>SFP-GIG-SX-100P</v>
          </cell>
        </row>
        <row r="679">
          <cell r="H679">
            <v>85000</v>
          </cell>
        </row>
        <row r="680">
          <cell r="C680" t="str">
            <v>SFP-GIG-SX-50P</v>
          </cell>
        </row>
        <row r="680">
          <cell r="H680">
            <v>56100</v>
          </cell>
        </row>
        <row r="681">
          <cell r="C681" t="str">
            <v>SFP-10G-BX-D40</v>
          </cell>
        </row>
        <row r="681">
          <cell r="H681">
            <v>77520</v>
          </cell>
        </row>
        <row r="682">
          <cell r="C682" t="str">
            <v>SFP-10G-BX-U40</v>
          </cell>
        </row>
        <row r="682">
          <cell r="H682">
            <v>77520</v>
          </cell>
        </row>
        <row r="683">
          <cell r="C683" t="str">
            <v>SFP-DUAL-MM-N</v>
          </cell>
        </row>
        <row r="683">
          <cell r="H683">
            <v>6715</v>
          </cell>
        </row>
        <row r="684">
          <cell r="C684" t="str">
            <v>OAW-AP1231-RW</v>
          </cell>
        </row>
        <row r="684">
          <cell r="H684">
            <v>28617.75</v>
          </cell>
        </row>
        <row r="685">
          <cell r="C685" t="str">
            <v>OAW-AP1232-RW</v>
          </cell>
        </row>
        <row r="685">
          <cell r="H685">
            <v>28617.75</v>
          </cell>
        </row>
        <row r="686">
          <cell r="C686" t="str">
            <v>OAW-AP1201HL-RW</v>
          </cell>
        </row>
        <row r="686">
          <cell r="H686">
            <v>6218</v>
          </cell>
        </row>
        <row r="687">
          <cell r="C687" t="str">
            <v>OAW-AP1201BG-RW</v>
          </cell>
        </row>
        <row r="687">
          <cell r="H687">
            <v>4976.328</v>
          </cell>
        </row>
        <row r="688">
          <cell r="C688" t="str">
            <v>OAW-AP1301L-RW</v>
          </cell>
        </row>
        <row r="688">
          <cell r="H688">
            <v>10712</v>
          </cell>
        </row>
        <row r="689">
          <cell r="C689" t="str">
            <v>OAW-AP1301-RW</v>
          </cell>
        </row>
        <row r="689">
          <cell r="H689">
            <v>13024.44</v>
          </cell>
        </row>
        <row r="690">
          <cell r="C690" t="str">
            <v>OAW-AP1261-RW-B</v>
          </cell>
        </row>
        <row r="690">
          <cell r="H690">
            <v>11385</v>
          </cell>
        </row>
        <row r="691">
          <cell r="C691" t="str">
            <v>OAW-AP1301H-RW</v>
          </cell>
        </row>
        <row r="691">
          <cell r="H691">
            <v>13024.44</v>
          </cell>
        </row>
        <row r="692">
          <cell r="C692" t="str">
            <v>OAW-AP1301W-RW</v>
          </cell>
        </row>
        <row r="692">
          <cell r="H692">
            <v>6218</v>
          </cell>
        </row>
        <row r="693">
          <cell r="C693" t="str">
            <v>OAW-AP1311-RW</v>
          </cell>
        </row>
        <row r="693">
          <cell r="H693">
            <v>18286.84</v>
          </cell>
        </row>
        <row r="694">
          <cell r="C694" t="str">
            <v>OAW-AP1321-RW</v>
          </cell>
        </row>
        <row r="694">
          <cell r="H694">
            <v>26180.44</v>
          </cell>
        </row>
        <row r="695">
          <cell r="C695" t="str">
            <v>OAW-AP1322-RW</v>
          </cell>
        </row>
        <row r="695">
          <cell r="H695">
            <v>26180.44</v>
          </cell>
        </row>
        <row r="696">
          <cell r="C696" t="str">
            <v>OAW-AP1331-RW</v>
          </cell>
        </row>
        <row r="696">
          <cell r="H696">
            <v>39336.44</v>
          </cell>
        </row>
        <row r="697">
          <cell r="C697" t="str">
            <v>OAW-AP1361-RW</v>
          </cell>
        </row>
        <row r="697">
          <cell r="H697">
            <v>47230.04</v>
          </cell>
        </row>
        <row r="698">
          <cell r="C698" t="str">
            <v>OAW-AP1361D-RW</v>
          </cell>
        </row>
        <row r="698">
          <cell r="H698">
            <v>47230.04</v>
          </cell>
        </row>
        <row r="699">
          <cell r="C699" t="str">
            <v>OAW-AP1362-RW</v>
          </cell>
        </row>
        <row r="699">
          <cell r="H699">
            <v>47230.04</v>
          </cell>
        </row>
        <row r="700">
          <cell r="C700" t="str">
            <v>OAW-AP1351-RW</v>
          </cell>
        </row>
        <row r="700">
          <cell r="H700">
            <v>49873.2</v>
          </cell>
        </row>
        <row r="701">
          <cell r="C701" t="str">
            <v>OAW-AP1451-RW</v>
          </cell>
        </row>
        <row r="701">
          <cell r="H701">
            <v>52504.4</v>
          </cell>
        </row>
        <row r="702">
          <cell r="C702" t="str">
            <v>OAW-AP1431-RW</v>
          </cell>
        </row>
        <row r="702">
          <cell r="H702">
            <v>32775</v>
          </cell>
        </row>
        <row r="703">
          <cell r="C703" t="str">
            <v>OAW-AP1411-RW</v>
          </cell>
        </row>
        <row r="703">
          <cell r="H703">
            <v>25185</v>
          </cell>
        </row>
        <row r="704">
          <cell r="C704" t="str">
            <v>OAW-AP1501-RW</v>
          </cell>
        </row>
        <row r="704">
          <cell r="H704">
            <v>15985</v>
          </cell>
        </row>
        <row r="705">
          <cell r="C705" t="str">
            <v>OAW-AP1511-RW</v>
          </cell>
        </row>
        <row r="705">
          <cell r="H705">
            <v>29785</v>
          </cell>
        </row>
        <row r="706">
          <cell r="C706" t="str">
            <v>OAW-AP1521-RW</v>
          </cell>
        </row>
        <row r="706">
          <cell r="H706">
            <v>38985</v>
          </cell>
        </row>
        <row r="707">
          <cell r="C707" t="str">
            <v>OAW-AP1511-CN</v>
          </cell>
        </row>
        <row r="707">
          <cell r="H707">
            <v>29785</v>
          </cell>
        </row>
        <row r="708">
          <cell r="C708" t="str">
            <v>OAW-AP1521-CN</v>
          </cell>
        </row>
        <row r="708">
          <cell r="H708">
            <v>38985</v>
          </cell>
        </row>
        <row r="709">
          <cell r="C709" t="str">
            <v>OAW-AP1541-RW</v>
          </cell>
        </row>
        <row r="709">
          <cell r="H709">
            <v>57385</v>
          </cell>
        </row>
        <row r="710">
          <cell r="C710" t="str">
            <v>OAW-AP1542-RW</v>
          </cell>
        </row>
        <row r="710">
          <cell r="H710">
            <v>57385</v>
          </cell>
        </row>
        <row r="711">
          <cell r="C711" t="str">
            <v>OAW-AP1561-RW</v>
          </cell>
        </row>
        <row r="711">
          <cell r="H711">
            <v>32085</v>
          </cell>
        </row>
        <row r="712">
          <cell r="C712" t="str">
            <v>OAW-AP1571-RW</v>
          </cell>
        </row>
        <row r="712">
          <cell r="H712">
            <v>50485</v>
          </cell>
        </row>
        <row r="713">
          <cell r="C713" t="str">
            <v>OAW-AP1572-RW</v>
          </cell>
        </row>
        <row r="713">
          <cell r="H713">
            <v>50485</v>
          </cell>
        </row>
        <row r="714">
          <cell r="C714" t="str">
            <v>ADP-50GRBE</v>
          </cell>
        </row>
        <row r="714">
          <cell r="H714">
            <v>746.304</v>
          </cell>
        </row>
        <row r="715">
          <cell r="C715" t="str">
            <v>ANT-O-6</v>
          </cell>
        </row>
        <row r="715">
          <cell r="H715">
            <v>1913.6</v>
          </cell>
        </row>
        <row r="716">
          <cell r="C716" t="str">
            <v>ANT-O-M2-5</v>
          </cell>
        </row>
        <row r="716">
          <cell r="H716">
            <v>11845</v>
          </cell>
        </row>
        <row r="717">
          <cell r="C717" t="str">
            <v>ANT-O-M4-5</v>
          </cell>
        </row>
        <row r="717">
          <cell r="H717">
            <v>5740.8</v>
          </cell>
        </row>
        <row r="718">
          <cell r="C718" t="str">
            <v>ANT-O-M4-9</v>
          </cell>
        </row>
        <row r="718">
          <cell r="H718">
            <v>14950</v>
          </cell>
        </row>
        <row r="719">
          <cell r="C719" t="str">
            <v>ANT-S-M4-60</v>
          </cell>
        </row>
        <row r="719">
          <cell r="H719">
            <v>10046.4</v>
          </cell>
        </row>
        <row r="720">
          <cell r="C720" t="str">
            <v>ANT-O-M6-8</v>
          </cell>
        </row>
        <row r="720">
          <cell r="H720">
            <v>18538</v>
          </cell>
        </row>
        <row r="721">
          <cell r="C721" t="str">
            <v>ANT-S-M6-60-9</v>
          </cell>
        </row>
        <row r="721">
          <cell r="H721">
            <v>11362</v>
          </cell>
        </row>
        <row r="722">
          <cell r="C722" t="str">
            <v>ANT-S-M4-120</v>
          </cell>
        </row>
        <row r="722">
          <cell r="H722">
            <v>11017</v>
          </cell>
        </row>
        <row r="723">
          <cell r="C723" t="str">
            <v>ANT-S-M4-30</v>
          </cell>
        </row>
        <row r="723">
          <cell r="H723">
            <v>11017</v>
          </cell>
        </row>
        <row r="724">
          <cell r="C724" t="str">
            <v>AP-MNT-IN-WE</v>
          </cell>
        </row>
        <row r="724">
          <cell r="H724">
            <v>966</v>
          </cell>
        </row>
        <row r="725">
          <cell r="C725" t="str">
            <v>AP-MNT-OUT-H</v>
          </cell>
        </row>
        <row r="725">
          <cell r="H725">
            <v>3588</v>
          </cell>
        </row>
        <row r="726">
          <cell r="C726" t="str">
            <v>AP-MNT-OUT</v>
          </cell>
        </row>
        <row r="726">
          <cell r="H726">
            <v>3588</v>
          </cell>
        </row>
        <row r="727">
          <cell r="C727" t="str">
            <v>AP-OUT-SFP-KIT</v>
          </cell>
        </row>
        <row r="727">
          <cell r="H727">
            <v>2870.4</v>
          </cell>
        </row>
        <row r="728">
          <cell r="C728" t="str">
            <v>OAW-AP-MNT-B</v>
          </cell>
        </row>
        <row r="728">
          <cell r="H728">
            <v>598</v>
          </cell>
        </row>
        <row r="729">
          <cell r="C729" t="str">
            <v>OAW-AP-MNT-C</v>
          </cell>
        </row>
        <row r="729">
          <cell r="H729">
            <v>598</v>
          </cell>
        </row>
        <row r="730">
          <cell r="C730" t="str">
            <v>OAW-AP-MNT-W</v>
          </cell>
        </row>
        <row r="730">
          <cell r="H730">
            <v>598</v>
          </cell>
        </row>
        <row r="731">
          <cell r="C731" t="str">
            <v>AP-MNT-IN-BE</v>
          </cell>
        </row>
        <row r="731">
          <cell r="H731">
            <v>956.8</v>
          </cell>
        </row>
        <row r="732">
          <cell r="C732" t="str">
            <v>AP-MNT-IN-CE</v>
          </cell>
        </row>
        <row r="732">
          <cell r="H732">
            <v>956.8</v>
          </cell>
        </row>
        <row r="733">
          <cell r="C733" t="str">
            <v>AP-MNT-DSK-B</v>
          </cell>
        </row>
        <row r="733">
          <cell r="H733">
            <v>1315.6</v>
          </cell>
        </row>
        <row r="734">
          <cell r="C734" t="str">
            <v>PD-3501G/AC</v>
          </cell>
        </row>
        <row r="734">
          <cell r="H734">
            <v>2272.4</v>
          </cell>
        </row>
        <row r="735">
          <cell r="C735" t="str">
            <v>PD-9001GO-ET/AC</v>
          </cell>
        </row>
        <row r="735">
          <cell r="H735">
            <v>16624.4</v>
          </cell>
        </row>
        <row r="736">
          <cell r="C736" t="str">
            <v>PD-9001GR/AT/AC</v>
          </cell>
        </row>
        <row r="736">
          <cell r="H736">
            <v>3468.4</v>
          </cell>
        </row>
        <row r="737">
          <cell r="C737" t="str">
            <v>PD-9501GR/AC</v>
          </cell>
        </row>
        <row r="737">
          <cell r="H737">
            <v>6578</v>
          </cell>
        </row>
        <row r="738">
          <cell r="C738" t="str">
            <v>PD-OUT/MBK/ET</v>
          </cell>
        </row>
        <row r="738">
          <cell r="H738">
            <v>2990</v>
          </cell>
        </row>
        <row r="739">
          <cell r="C739" t="str">
            <v>PD-OUT/MBK/S</v>
          </cell>
        </row>
        <row r="739">
          <cell r="H739">
            <v>2990</v>
          </cell>
        </row>
        <row r="740">
          <cell r="C740" t="str">
            <v>POE60S-1BT-R</v>
          </cell>
        </row>
        <row r="740">
          <cell r="H740">
            <v>8372</v>
          </cell>
        </row>
        <row r="741">
          <cell r="C741" t="str">
            <v>POE60U-1BT-X-R</v>
          </cell>
        </row>
        <row r="741">
          <cell r="H741">
            <v>5860.4</v>
          </cell>
        </row>
        <row r="742">
          <cell r="C742" t="str">
            <v>POEO75U-1BT-R</v>
          </cell>
        </row>
        <row r="742">
          <cell r="H742">
            <v>16624.4</v>
          </cell>
        </row>
        <row r="743">
          <cell r="C743" t="str">
            <v>OAW-AP-MNT-W-10</v>
          </cell>
        </row>
        <row r="743">
          <cell r="H743">
            <v>4903.6</v>
          </cell>
        </row>
        <row r="744">
          <cell r="C744" t="str">
            <v>OAW-AP-MNT-B-10</v>
          </cell>
        </row>
        <row r="744">
          <cell r="H744">
            <v>4903.6</v>
          </cell>
        </row>
        <row r="745">
          <cell r="C745" t="str">
            <v>OAW-AP-MNT-DSK</v>
          </cell>
        </row>
        <row r="745">
          <cell r="H745">
            <v>956.8</v>
          </cell>
        </row>
        <row r="746">
          <cell r="C746" t="str">
            <v>AP-MNT-IN-WE2</v>
          </cell>
        </row>
        <row r="746">
          <cell r="H746">
            <v>962</v>
          </cell>
        </row>
        <row r="747">
          <cell r="C747" t="str">
            <v>PPM1-AP1201BG</v>
          </cell>
        </row>
        <row r="747">
          <cell r="H747">
            <v>12.74</v>
          </cell>
        </row>
        <row r="748">
          <cell r="C748" t="str">
            <v>PPM1-OAWAP1101</v>
          </cell>
        </row>
        <row r="748">
          <cell r="H748">
            <v>12.88</v>
          </cell>
        </row>
        <row r="749">
          <cell r="C749" t="str">
            <v>PPM1-OAWAP1201</v>
          </cell>
        </row>
        <row r="749">
          <cell r="H749">
            <v>12.74</v>
          </cell>
        </row>
        <row r="750">
          <cell r="C750" t="str">
            <v>PPM1-OAWAP1221</v>
          </cell>
        </row>
        <row r="750">
          <cell r="H750">
            <v>31.5</v>
          </cell>
        </row>
        <row r="751">
          <cell r="C751" t="str">
            <v>PPM1-OAWAP1222</v>
          </cell>
        </row>
        <row r="751">
          <cell r="H751">
            <v>28.14</v>
          </cell>
        </row>
        <row r="752">
          <cell r="C752" t="str">
            <v>PPM1-OAWAP1231</v>
          </cell>
        </row>
        <row r="752">
          <cell r="H752">
            <v>49.84</v>
          </cell>
        </row>
        <row r="753">
          <cell r="C753" t="str">
            <v>PPM1-OAWAP1232</v>
          </cell>
        </row>
        <row r="753">
          <cell r="H753">
            <v>49.84</v>
          </cell>
        </row>
        <row r="754">
          <cell r="C754" t="str">
            <v>PPM1-OAWAP1251</v>
          </cell>
        </row>
        <row r="754">
          <cell r="H754">
            <v>45.5</v>
          </cell>
        </row>
        <row r="755">
          <cell r="C755" t="str">
            <v>PPM1-OAWAP1261B</v>
          </cell>
        </row>
        <row r="755">
          <cell r="H755">
            <v>20.86</v>
          </cell>
        </row>
        <row r="756">
          <cell r="C756" t="str">
            <v>PPM1-OAWAP1301H</v>
          </cell>
        </row>
        <row r="756">
          <cell r="H756">
            <v>21.14</v>
          </cell>
        </row>
        <row r="757">
          <cell r="C757" t="str">
            <v>PPM1-OAWAP1301</v>
          </cell>
        </row>
        <row r="757">
          <cell r="H757">
            <v>21.14</v>
          </cell>
        </row>
        <row r="758">
          <cell r="C758" t="str">
            <v>PPM1-OAWAP1311</v>
          </cell>
        </row>
        <row r="758">
          <cell r="H758">
            <v>29.68</v>
          </cell>
        </row>
        <row r="759">
          <cell r="C759" t="str">
            <v>PPM1-OAWAP1320</v>
          </cell>
        </row>
        <row r="759">
          <cell r="H759">
            <v>42.56</v>
          </cell>
        </row>
        <row r="760">
          <cell r="C760" t="str">
            <v>PPM1-OAWAP1331</v>
          </cell>
        </row>
        <row r="760">
          <cell r="H760">
            <v>63.84</v>
          </cell>
        </row>
        <row r="761">
          <cell r="C761" t="str">
            <v>PPM1-OAWAP1351</v>
          </cell>
        </row>
        <row r="761">
          <cell r="H761">
            <v>80.92</v>
          </cell>
        </row>
        <row r="762">
          <cell r="C762" t="str">
            <v>PPM1-OAWAP1360</v>
          </cell>
        </row>
        <row r="762">
          <cell r="H762">
            <v>76.72</v>
          </cell>
        </row>
        <row r="763">
          <cell r="C763" t="str">
            <v>PPM1-OAWAP1411</v>
          </cell>
        </row>
        <row r="763">
          <cell r="H763">
            <v>40.88</v>
          </cell>
        </row>
        <row r="764">
          <cell r="C764" t="str">
            <v>PPM1-OAWAP1431</v>
          </cell>
        </row>
        <row r="764">
          <cell r="H764">
            <v>53.2</v>
          </cell>
        </row>
        <row r="765">
          <cell r="C765" t="str">
            <v>PPM1-OAWAP1451</v>
          </cell>
        </row>
        <row r="765">
          <cell r="H765">
            <v>85.26</v>
          </cell>
        </row>
        <row r="766">
          <cell r="C766" t="str">
            <v>PPM1-OAWAP1501</v>
          </cell>
        </row>
        <row r="766">
          <cell r="H766">
            <v>42.55</v>
          </cell>
        </row>
        <row r="767">
          <cell r="C767" t="str">
            <v>PPM1-OAWAP1511</v>
          </cell>
        </row>
        <row r="767">
          <cell r="H767">
            <v>48.3</v>
          </cell>
        </row>
        <row r="768">
          <cell r="C768" t="str">
            <v>PPM1-OAWAP1521</v>
          </cell>
        </row>
        <row r="768">
          <cell r="H768">
            <v>63.28</v>
          </cell>
        </row>
        <row r="769">
          <cell r="C769" t="str">
            <v>PPM1-OAWAP1541</v>
          </cell>
        </row>
        <row r="769">
          <cell r="H769">
            <v>98</v>
          </cell>
        </row>
        <row r="770">
          <cell r="C770" t="str">
            <v>PPM1-OAWAP1542</v>
          </cell>
        </row>
        <row r="770">
          <cell r="H770">
            <v>98</v>
          </cell>
        </row>
        <row r="771">
          <cell r="C771" t="str">
            <v>PPM1-OAWAP1561</v>
          </cell>
        </row>
        <row r="771">
          <cell r="H771">
            <v>84</v>
          </cell>
        </row>
        <row r="772">
          <cell r="C772" t="str">
            <v>PPM1-OAWAP1571</v>
          </cell>
        </row>
        <row r="772">
          <cell r="H772">
            <v>84</v>
          </cell>
        </row>
        <row r="773">
          <cell r="C773" t="str">
            <v>PPM1-OAWAP1572</v>
          </cell>
        </row>
        <row r="773">
          <cell r="H773">
            <v>84</v>
          </cell>
        </row>
        <row r="774">
          <cell r="C774" t="str">
            <v>PP1N-OAWAP1101</v>
          </cell>
        </row>
        <row r="774">
          <cell r="H774">
            <v>154</v>
          </cell>
        </row>
        <row r="775">
          <cell r="C775" t="str">
            <v>PP1N-AP1201BG</v>
          </cell>
        </row>
        <row r="775">
          <cell r="H775">
            <v>154</v>
          </cell>
        </row>
        <row r="776">
          <cell r="C776" t="str">
            <v>PP1N-OAWAP1201</v>
          </cell>
        </row>
        <row r="776">
          <cell r="H776">
            <v>154</v>
          </cell>
        </row>
        <row r="777">
          <cell r="C777" t="str">
            <v>PP1N-OAWAP1221</v>
          </cell>
        </row>
        <row r="777">
          <cell r="H777">
            <v>378</v>
          </cell>
        </row>
        <row r="778">
          <cell r="C778" t="str">
            <v>PP1N-OAWAP1222</v>
          </cell>
        </row>
        <row r="778">
          <cell r="H778">
            <v>336</v>
          </cell>
        </row>
        <row r="779">
          <cell r="C779" t="str">
            <v>PP1N-OAWAP1231</v>
          </cell>
        </row>
        <row r="779">
          <cell r="H779">
            <v>602</v>
          </cell>
        </row>
        <row r="780">
          <cell r="C780" t="str">
            <v>PP1N-OAWAP1232</v>
          </cell>
        </row>
        <row r="780">
          <cell r="H780">
            <v>602</v>
          </cell>
        </row>
        <row r="781">
          <cell r="C781" t="str">
            <v>PP1N-OAWAP1251</v>
          </cell>
        </row>
        <row r="781">
          <cell r="H781">
            <v>546</v>
          </cell>
        </row>
        <row r="782">
          <cell r="C782" t="str">
            <v>PP1N-OAWAP1261B</v>
          </cell>
        </row>
        <row r="782">
          <cell r="H782">
            <v>252</v>
          </cell>
        </row>
        <row r="783">
          <cell r="C783" t="str">
            <v>PP1N-OAWAP1301</v>
          </cell>
        </row>
        <row r="783">
          <cell r="H783">
            <v>252</v>
          </cell>
        </row>
        <row r="784">
          <cell r="C784" t="str">
            <v>PP1N-OAWAP1301H</v>
          </cell>
        </row>
        <row r="784">
          <cell r="H784">
            <v>252</v>
          </cell>
        </row>
        <row r="785">
          <cell r="C785" t="str">
            <v>PP1N-OAWAP1311</v>
          </cell>
        </row>
        <row r="785">
          <cell r="H785">
            <v>350</v>
          </cell>
        </row>
        <row r="786">
          <cell r="C786" t="str">
            <v>PP1N-OAWAP1320</v>
          </cell>
        </row>
        <row r="786">
          <cell r="H786">
            <v>504</v>
          </cell>
        </row>
        <row r="787">
          <cell r="C787" t="str">
            <v>PP1N-OAWAP1331</v>
          </cell>
        </row>
        <row r="787">
          <cell r="H787">
            <v>770</v>
          </cell>
        </row>
        <row r="788">
          <cell r="C788" t="str">
            <v>PP1N-OAWAP1351</v>
          </cell>
        </row>
        <row r="788">
          <cell r="H788">
            <v>966</v>
          </cell>
        </row>
        <row r="789">
          <cell r="C789" t="str">
            <v>PP1N-OAWAP1360</v>
          </cell>
        </row>
        <row r="789">
          <cell r="H789">
            <v>924</v>
          </cell>
        </row>
        <row r="790">
          <cell r="C790" t="str">
            <v>PP1N-OAWAP1411</v>
          </cell>
        </row>
        <row r="790">
          <cell r="H790">
            <v>490</v>
          </cell>
        </row>
        <row r="791">
          <cell r="C791" t="str">
            <v>PP1N-OAWAP1431</v>
          </cell>
        </row>
        <row r="791">
          <cell r="H791">
            <v>644</v>
          </cell>
        </row>
        <row r="792">
          <cell r="C792" t="str">
            <v>PP1N-OAWAP1451</v>
          </cell>
        </row>
        <row r="792">
          <cell r="H792">
            <v>1022</v>
          </cell>
        </row>
        <row r="793">
          <cell r="C793" t="str">
            <v>PP1N-OAWAP1501</v>
          </cell>
        </row>
        <row r="793">
          <cell r="H793">
            <v>506</v>
          </cell>
        </row>
        <row r="794">
          <cell r="C794" t="str">
            <v>PP1N-OAWAP1511</v>
          </cell>
        </row>
        <row r="794">
          <cell r="H794">
            <v>574</v>
          </cell>
        </row>
        <row r="795">
          <cell r="C795" t="str">
            <v>PP1N-OAWAP1521</v>
          </cell>
        </row>
        <row r="795">
          <cell r="H795">
            <v>756</v>
          </cell>
        </row>
        <row r="796">
          <cell r="C796" t="str">
            <v>PP1N-OAWAP1541</v>
          </cell>
        </row>
        <row r="796">
          <cell r="H796">
            <v>1120</v>
          </cell>
        </row>
        <row r="797">
          <cell r="C797" t="str">
            <v>PP1N-OAWAP1542</v>
          </cell>
        </row>
        <row r="797">
          <cell r="H797">
            <v>1120</v>
          </cell>
        </row>
        <row r="798">
          <cell r="C798" t="str">
            <v>PP1N-OAWAP1561</v>
          </cell>
        </row>
        <row r="798">
          <cell r="H798">
            <v>980</v>
          </cell>
        </row>
        <row r="799">
          <cell r="C799" t="str">
            <v>PP1N-OAWAP1571</v>
          </cell>
        </row>
        <row r="799">
          <cell r="H799">
            <v>980</v>
          </cell>
        </row>
        <row r="800">
          <cell r="C800" t="str">
            <v>PP1N-OAWAP1572</v>
          </cell>
        </row>
        <row r="800">
          <cell r="H800">
            <v>980</v>
          </cell>
        </row>
        <row r="801">
          <cell r="C801" t="str">
            <v>PP2N-OAWAP1101</v>
          </cell>
        </row>
        <row r="801">
          <cell r="H801">
            <v>294</v>
          </cell>
        </row>
        <row r="802">
          <cell r="C802" t="str">
            <v>PP2N-AP1201BG</v>
          </cell>
        </row>
        <row r="802">
          <cell r="H802">
            <v>294</v>
          </cell>
        </row>
        <row r="803">
          <cell r="C803" t="str">
            <v>PP2N-OAWAP1201</v>
          </cell>
        </row>
        <row r="803">
          <cell r="H803">
            <v>294</v>
          </cell>
        </row>
        <row r="804">
          <cell r="C804" t="str">
            <v>PP2N-OAWAP1221</v>
          </cell>
        </row>
        <row r="804">
          <cell r="H804">
            <v>714</v>
          </cell>
        </row>
        <row r="805">
          <cell r="C805" t="str">
            <v>PP2N-OAWAP1222</v>
          </cell>
        </row>
        <row r="805">
          <cell r="H805">
            <v>630</v>
          </cell>
        </row>
        <row r="806">
          <cell r="C806" t="str">
            <v>PP2N-OAWAP1231</v>
          </cell>
        </row>
        <row r="806">
          <cell r="H806">
            <v>1120</v>
          </cell>
        </row>
        <row r="807">
          <cell r="C807" t="str">
            <v>PP2N-OAWAP1232</v>
          </cell>
        </row>
        <row r="807">
          <cell r="H807">
            <v>1120</v>
          </cell>
        </row>
        <row r="808">
          <cell r="C808" t="str">
            <v>PP2N-OAWAP1251</v>
          </cell>
        </row>
        <row r="808">
          <cell r="H808">
            <v>1022</v>
          </cell>
        </row>
        <row r="809">
          <cell r="C809" t="str">
            <v>PP2N-OAWAP1261B</v>
          </cell>
        </row>
        <row r="809">
          <cell r="H809">
            <v>476</v>
          </cell>
        </row>
        <row r="810">
          <cell r="C810" t="str">
            <v>PP2N-OAWAP1301</v>
          </cell>
        </row>
        <row r="810">
          <cell r="H810">
            <v>476</v>
          </cell>
        </row>
        <row r="811">
          <cell r="C811" t="str">
            <v>PP2N-OAWAP1301H</v>
          </cell>
        </row>
        <row r="811">
          <cell r="H811">
            <v>476</v>
          </cell>
        </row>
        <row r="812">
          <cell r="C812" t="str">
            <v>PP2N-OAWAP1311</v>
          </cell>
        </row>
        <row r="812">
          <cell r="H812">
            <v>672</v>
          </cell>
        </row>
        <row r="813">
          <cell r="C813" t="str">
            <v>PP2N-OAWAP1320</v>
          </cell>
        </row>
        <row r="813">
          <cell r="H813">
            <v>966</v>
          </cell>
        </row>
        <row r="814">
          <cell r="C814" t="str">
            <v>PP2N-OAWAP1331</v>
          </cell>
        </row>
        <row r="814">
          <cell r="H814">
            <v>1442</v>
          </cell>
        </row>
        <row r="815">
          <cell r="C815" t="str">
            <v>PP2N-OAWAP1351</v>
          </cell>
        </row>
        <row r="815">
          <cell r="H815">
            <v>1820</v>
          </cell>
        </row>
        <row r="816">
          <cell r="C816" t="str">
            <v>PP2N-OAWAP1360</v>
          </cell>
        </row>
        <row r="816">
          <cell r="H816">
            <v>1736</v>
          </cell>
        </row>
        <row r="817">
          <cell r="C817" t="str">
            <v>PP2N-OAWAP1411</v>
          </cell>
        </row>
        <row r="817">
          <cell r="H817">
            <v>924</v>
          </cell>
        </row>
        <row r="818">
          <cell r="C818" t="str">
            <v>PP2N-OAWAP1431</v>
          </cell>
        </row>
        <row r="818">
          <cell r="H818">
            <v>1204</v>
          </cell>
        </row>
        <row r="819">
          <cell r="C819" t="str">
            <v>PP2N-OAWAP1451</v>
          </cell>
        </row>
        <row r="819">
          <cell r="H819">
            <v>1918</v>
          </cell>
        </row>
        <row r="820">
          <cell r="C820" t="str">
            <v>PP2N-OAWAP1501</v>
          </cell>
        </row>
        <row r="820">
          <cell r="H820">
            <v>966</v>
          </cell>
        </row>
        <row r="821">
          <cell r="C821" t="str">
            <v>PP2N-OAWAP1511</v>
          </cell>
        </row>
        <row r="821">
          <cell r="H821">
            <v>1092</v>
          </cell>
        </row>
        <row r="822">
          <cell r="C822" t="str">
            <v>PP2N-OAWAP1521</v>
          </cell>
        </row>
        <row r="822">
          <cell r="H822">
            <v>1428</v>
          </cell>
        </row>
        <row r="823">
          <cell r="C823" t="str">
            <v>PP2N-OAWAP1541</v>
          </cell>
        </row>
        <row r="823">
          <cell r="H823">
            <v>2100</v>
          </cell>
        </row>
        <row r="824">
          <cell r="C824" t="str">
            <v>PP2N-OAWAP1542</v>
          </cell>
        </row>
        <row r="824">
          <cell r="H824">
            <v>2100</v>
          </cell>
        </row>
        <row r="825">
          <cell r="C825" t="str">
            <v>PP2N-OAWAP1561</v>
          </cell>
        </row>
        <row r="825">
          <cell r="H825">
            <v>1848</v>
          </cell>
        </row>
        <row r="826">
          <cell r="C826" t="str">
            <v>PP2N-OAWAP1571</v>
          </cell>
        </row>
        <row r="826">
          <cell r="H826">
            <v>1848</v>
          </cell>
        </row>
        <row r="827">
          <cell r="C827" t="str">
            <v>PP2N-OAWAP1572</v>
          </cell>
        </row>
        <row r="827">
          <cell r="H827">
            <v>1848</v>
          </cell>
        </row>
        <row r="828">
          <cell r="C828" t="str">
            <v>PP3N-OAWAP1301H</v>
          </cell>
        </row>
        <row r="828">
          <cell r="H828">
            <v>700</v>
          </cell>
        </row>
        <row r="829">
          <cell r="C829" t="str">
            <v>PP3N-AP1201BG</v>
          </cell>
        </row>
        <row r="829">
          <cell r="H829">
            <v>420</v>
          </cell>
        </row>
        <row r="830">
          <cell r="C830" t="str">
            <v>PP3N-OAWAP1201</v>
          </cell>
        </row>
        <row r="830">
          <cell r="H830">
            <v>420</v>
          </cell>
        </row>
        <row r="831">
          <cell r="C831" t="str">
            <v>PP3N-OAWAP1231</v>
          </cell>
        </row>
        <row r="831">
          <cell r="H831">
            <v>1624</v>
          </cell>
        </row>
        <row r="832">
          <cell r="C832" t="str">
            <v>PP3N-OAWAP1232</v>
          </cell>
        </row>
        <row r="832">
          <cell r="H832">
            <v>1624</v>
          </cell>
        </row>
        <row r="833">
          <cell r="C833" t="str">
            <v>PP3N-OAWAP1251</v>
          </cell>
        </row>
        <row r="833">
          <cell r="H833">
            <v>1484</v>
          </cell>
        </row>
        <row r="834">
          <cell r="C834" t="str">
            <v>PP3N-OAWAP1261B</v>
          </cell>
        </row>
        <row r="834">
          <cell r="H834">
            <v>686</v>
          </cell>
        </row>
        <row r="835">
          <cell r="C835" t="str">
            <v>PP3N-OAWAP1301</v>
          </cell>
        </row>
        <row r="835">
          <cell r="H835">
            <v>700</v>
          </cell>
        </row>
        <row r="836">
          <cell r="C836" t="str">
            <v>PP3N-OAWAP1311</v>
          </cell>
        </row>
        <row r="836">
          <cell r="H836">
            <v>980</v>
          </cell>
        </row>
        <row r="837">
          <cell r="C837" t="str">
            <v>PP3N-OAWAP1320</v>
          </cell>
        </row>
        <row r="837">
          <cell r="H837">
            <v>1386</v>
          </cell>
        </row>
        <row r="838">
          <cell r="C838" t="str">
            <v>PP3N-OAWAP1331</v>
          </cell>
        </row>
        <row r="838">
          <cell r="H838">
            <v>2480.688</v>
          </cell>
        </row>
        <row r="839">
          <cell r="C839" t="str">
            <v>PP3N-OAWAP1351</v>
          </cell>
        </row>
        <row r="839">
          <cell r="H839">
            <v>2646</v>
          </cell>
        </row>
        <row r="840">
          <cell r="C840" t="str">
            <v>PP3N-OAWAP1360</v>
          </cell>
        </row>
        <row r="840">
          <cell r="H840">
            <v>2506</v>
          </cell>
        </row>
        <row r="841">
          <cell r="C841" t="str">
            <v>PP3N-OAWAP1451</v>
          </cell>
        </row>
        <row r="841">
          <cell r="H841">
            <v>2786</v>
          </cell>
        </row>
        <row r="842">
          <cell r="C842" t="str">
            <v>PP3N-OAWAP1431</v>
          </cell>
        </row>
        <row r="842">
          <cell r="H842">
            <v>1736</v>
          </cell>
        </row>
        <row r="843">
          <cell r="C843" t="str">
            <v>PP3N-OAWAP1411</v>
          </cell>
        </row>
        <row r="843">
          <cell r="H843">
            <v>1344</v>
          </cell>
        </row>
        <row r="844">
          <cell r="C844" t="str">
            <v>PP3N-OAWAP1501</v>
          </cell>
        </row>
        <row r="844">
          <cell r="H844">
            <v>1403</v>
          </cell>
        </row>
        <row r="845">
          <cell r="C845" t="str">
            <v>PP3N-OAWAP1511</v>
          </cell>
        </row>
        <row r="845">
          <cell r="H845">
            <v>1582</v>
          </cell>
        </row>
        <row r="846">
          <cell r="C846" t="str">
            <v>PP3N-OAWAP1521</v>
          </cell>
        </row>
        <row r="846">
          <cell r="H846">
            <v>2072</v>
          </cell>
        </row>
        <row r="847">
          <cell r="C847" t="str">
            <v>PP3N-OAWAP1541</v>
          </cell>
        </row>
        <row r="847">
          <cell r="H847">
            <v>3052</v>
          </cell>
        </row>
        <row r="848">
          <cell r="C848" t="str">
            <v>PP3N-OAWAP1542</v>
          </cell>
        </row>
        <row r="848">
          <cell r="H848">
            <v>3052</v>
          </cell>
        </row>
        <row r="849">
          <cell r="C849" t="str">
            <v>PP3N-OAWAP1561</v>
          </cell>
        </row>
        <row r="849">
          <cell r="H849">
            <v>2688</v>
          </cell>
        </row>
        <row r="850">
          <cell r="C850" t="str">
            <v>PP3N-OAWAP1571</v>
          </cell>
        </row>
        <row r="850">
          <cell r="H850">
            <v>2688</v>
          </cell>
        </row>
        <row r="851">
          <cell r="C851" t="str">
            <v>PP3N-OAWAP1572</v>
          </cell>
        </row>
        <row r="851">
          <cell r="H851">
            <v>2688</v>
          </cell>
        </row>
        <row r="852">
          <cell r="C852" t="str">
            <v>PP5N-AP1201BG</v>
          </cell>
        </row>
        <row r="852">
          <cell r="H852">
            <v>658</v>
          </cell>
        </row>
        <row r="853">
          <cell r="C853" t="str">
            <v>PP5N-OAWAP1201</v>
          </cell>
        </row>
        <row r="853">
          <cell r="H853">
            <v>658</v>
          </cell>
        </row>
        <row r="854">
          <cell r="C854" t="str">
            <v>PP5N-OAWAP1231</v>
          </cell>
        </row>
        <row r="854">
          <cell r="H854">
            <v>2534</v>
          </cell>
        </row>
        <row r="855">
          <cell r="C855" t="str">
            <v>PP5N-OAWAP1232</v>
          </cell>
        </row>
        <row r="855">
          <cell r="H855">
            <v>2534</v>
          </cell>
        </row>
        <row r="856">
          <cell r="C856" t="str">
            <v>PP5N-OAWAP1261B</v>
          </cell>
        </row>
        <row r="856">
          <cell r="H856">
            <v>1064</v>
          </cell>
        </row>
        <row r="857">
          <cell r="C857" t="str">
            <v>PP5N-OAWAP1301</v>
          </cell>
        </row>
        <row r="857">
          <cell r="H857">
            <v>1078</v>
          </cell>
        </row>
        <row r="858">
          <cell r="C858" t="str">
            <v>PP5N-OAWAP1301H</v>
          </cell>
        </row>
        <row r="858">
          <cell r="H858">
            <v>1078</v>
          </cell>
        </row>
        <row r="859">
          <cell r="C859" t="str">
            <v>PP5N-OAWAP1311</v>
          </cell>
        </row>
        <row r="859">
          <cell r="H859">
            <v>1512</v>
          </cell>
        </row>
        <row r="860">
          <cell r="C860" t="str">
            <v>PP5N-OAWAP1320</v>
          </cell>
        </row>
        <row r="860">
          <cell r="H860">
            <v>2170</v>
          </cell>
        </row>
        <row r="861">
          <cell r="C861" t="str">
            <v>PP5N-OAWAP1331</v>
          </cell>
        </row>
        <row r="861">
          <cell r="H861">
            <v>3262</v>
          </cell>
        </row>
        <row r="862">
          <cell r="C862" t="str">
            <v>PP5N-OAWAP1360</v>
          </cell>
        </row>
        <row r="862">
          <cell r="H862">
            <v>3906</v>
          </cell>
        </row>
        <row r="863">
          <cell r="C863" t="str">
            <v>PP5N-OAWAP1351</v>
          </cell>
        </row>
        <row r="863">
          <cell r="H863">
            <v>4130</v>
          </cell>
        </row>
        <row r="864">
          <cell r="C864" t="str">
            <v>PP5N-OAWAP1451</v>
          </cell>
        </row>
        <row r="864">
          <cell r="H864">
            <v>4340</v>
          </cell>
        </row>
        <row r="865">
          <cell r="C865" t="str">
            <v>PP5N-OAWAP1431</v>
          </cell>
        </row>
        <row r="865">
          <cell r="H865">
            <v>2716</v>
          </cell>
        </row>
        <row r="866">
          <cell r="C866" t="str">
            <v>PP5N-OAWAP1411</v>
          </cell>
        </row>
        <row r="866">
          <cell r="H866">
            <v>2086</v>
          </cell>
        </row>
        <row r="867">
          <cell r="C867" t="str">
            <v>PP5N-OAWAP1501</v>
          </cell>
        </row>
        <row r="867">
          <cell r="H867">
            <v>2185</v>
          </cell>
        </row>
        <row r="868">
          <cell r="C868" t="str">
            <v>PP5N-OAWAP1511</v>
          </cell>
        </row>
        <row r="868">
          <cell r="H868">
            <v>2464</v>
          </cell>
        </row>
        <row r="869">
          <cell r="C869" t="str">
            <v>PP5N-OAWAP1521</v>
          </cell>
        </row>
        <row r="869">
          <cell r="H869">
            <v>3234</v>
          </cell>
        </row>
        <row r="870">
          <cell r="C870" t="str">
            <v>PP5N-OAWAP1541</v>
          </cell>
        </row>
        <row r="870">
          <cell r="H870">
            <v>4746</v>
          </cell>
        </row>
        <row r="871">
          <cell r="C871" t="str">
            <v>PP5N-OAWAP1542</v>
          </cell>
        </row>
        <row r="871">
          <cell r="H871">
            <v>4746</v>
          </cell>
        </row>
        <row r="872">
          <cell r="C872" t="str">
            <v>PP5N-OAWAP1561</v>
          </cell>
        </row>
        <row r="872">
          <cell r="H872">
            <v>4186</v>
          </cell>
        </row>
        <row r="873">
          <cell r="C873" t="str">
            <v>PP5N-OAWAP1571</v>
          </cell>
        </row>
        <row r="873">
          <cell r="H873">
            <v>4186</v>
          </cell>
        </row>
        <row r="874">
          <cell r="C874" t="str">
            <v>PP5N-OAWAP1572</v>
          </cell>
        </row>
        <row r="874">
          <cell r="H874">
            <v>4186</v>
          </cell>
        </row>
        <row r="875">
          <cell r="C875" t="str">
            <v>PWM1-OAWAP1101</v>
          </cell>
        </row>
        <row r="875">
          <cell r="H875">
            <v>8.26</v>
          </cell>
        </row>
        <row r="876">
          <cell r="C876" t="str">
            <v>PWM1-AP1201BG</v>
          </cell>
        </row>
        <row r="876">
          <cell r="H876">
            <v>8.54</v>
          </cell>
        </row>
        <row r="877">
          <cell r="C877" t="str">
            <v>PWM1-OAWAP1201</v>
          </cell>
        </row>
        <row r="877">
          <cell r="H877">
            <v>8.54</v>
          </cell>
        </row>
        <row r="878">
          <cell r="C878" t="str">
            <v>PWM1-OAWAP1221</v>
          </cell>
        </row>
        <row r="878">
          <cell r="H878">
            <v>21</v>
          </cell>
        </row>
        <row r="879">
          <cell r="C879" t="str">
            <v>PWM1-OAWAP1222</v>
          </cell>
        </row>
        <row r="879">
          <cell r="H879">
            <v>18.76</v>
          </cell>
        </row>
        <row r="880">
          <cell r="C880" t="str">
            <v>PWM1-OAWAP1231</v>
          </cell>
        </row>
        <row r="880">
          <cell r="H880">
            <v>33.18</v>
          </cell>
        </row>
        <row r="881">
          <cell r="C881" t="str">
            <v>PWM1-OAWAP1232</v>
          </cell>
        </row>
        <row r="881">
          <cell r="H881">
            <v>33.18</v>
          </cell>
        </row>
        <row r="882">
          <cell r="C882" t="str">
            <v>PWM1-OAWAP1251</v>
          </cell>
        </row>
        <row r="882">
          <cell r="H882">
            <v>30.24</v>
          </cell>
        </row>
        <row r="883">
          <cell r="C883" t="str">
            <v>PWM1-OAWAP1261B</v>
          </cell>
        </row>
        <row r="883">
          <cell r="H883">
            <v>13.86</v>
          </cell>
        </row>
        <row r="884">
          <cell r="C884" t="str">
            <v>PWM1-OAWAP1301H</v>
          </cell>
        </row>
        <row r="884">
          <cell r="H884">
            <v>13.3</v>
          </cell>
        </row>
        <row r="885">
          <cell r="C885" t="str">
            <v>PWM1-OAWAP1301</v>
          </cell>
        </row>
        <row r="885">
          <cell r="H885">
            <v>13.3</v>
          </cell>
        </row>
        <row r="886">
          <cell r="C886" t="str">
            <v>PWM1-OAWAP1311</v>
          </cell>
        </row>
        <row r="886">
          <cell r="H886">
            <v>18.62</v>
          </cell>
        </row>
        <row r="887">
          <cell r="C887" t="str">
            <v>PWM1-OAWAP1320</v>
          </cell>
        </row>
        <row r="887">
          <cell r="H887">
            <v>26.6</v>
          </cell>
        </row>
        <row r="888">
          <cell r="C888" t="str">
            <v>PWM1-OAWAP1331</v>
          </cell>
        </row>
        <row r="888">
          <cell r="H888">
            <v>39.9</v>
          </cell>
        </row>
        <row r="889">
          <cell r="C889" t="str">
            <v>PWM1-OAWAP1351</v>
          </cell>
        </row>
        <row r="889">
          <cell r="H889">
            <v>50.68</v>
          </cell>
        </row>
        <row r="890">
          <cell r="C890" t="str">
            <v>PWM1-OAWAP1360</v>
          </cell>
        </row>
        <row r="890">
          <cell r="H890">
            <v>47.88</v>
          </cell>
        </row>
        <row r="891">
          <cell r="C891" t="str">
            <v>PWM1-OAWAP1411</v>
          </cell>
        </row>
        <row r="891">
          <cell r="H891">
            <v>25.62</v>
          </cell>
        </row>
        <row r="892">
          <cell r="C892" t="str">
            <v>PWM1-OAWAP1431</v>
          </cell>
        </row>
        <row r="892">
          <cell r="H892">
            <v>33.32</v>
          </cell>
        </row>
        <row r="893">
          <cell r="C893" t="str">
            <v>PWM1-OAWAP1451</v>
          </cell>
        </row>
        <row r="893">
          <cell r="H893">
            <v>53.34</v>
          </cell>
        </row>
        <row r="894">
          <cell r="C894" t="str">
            <v>PWM1-OAWAP1501</v>
          </cell>
        </row>
        <row r="894">
          <cell r="H894">
            <v>26.68</v>
          </cell>
        </row>
        <row r="895">
          <cell r="C895" t="str">
            <v>PWM1-OAWAP1511</v>
          </cell>
        </row>
        <row r="895">
          <cell r="H895">
            <v>30</v>
          </cell>
        </row>
        <row r="896">
          <cell r="C896" t="str">
            <v>PWM1-OAWAP1521</v>
          </cell>
        </row>
        <row r="896">
          <cell r="H896">
            <v>39</v>
          </cell>
        </row>
        <row r="897">
          <cell r="C897" t="str">
            <v>PWM1-OAWAP1541</v>
          </cell>
        </row>
        <row r="897">
          <cell r="H897">
            <v>56</v>
          </cell>
        </row>
        <row r="898">
          <cell r="C898" t="str">
            <v>PWM1-OAWAP1542</v>
          </cell>
        </row>
        <row r="898">
          <cell r="H898">
            <v>56</v>
          </cell>
        </row>
        <row r="899">
          <cell r="C899" t="str">
            <v>PWM1-OAWAP1561</v>
          </cell>
        </row>
        <row r="899">
          <cell r="H899">
            <v>56</v>
          </cell>
        </row>
        <row r="900">
          <cell r="C900" t="str">
            <v>PWM1-OAWAP1571</v>
          </cell>
        </row>
        <row r="900">
          <cell r="H900">
            <v>56</v>
          </cell>
        </row>
        <row r="901">
          <cell r="C901" t="str">
            <v>PWM1-OAWAP1572</v>
          </cell>
        </row>
        <row r="901">
          <cell r="H901">
            <v>56</v>
          </cell>
        </row>
        <row r="902">
          <cell r="C902" t="str">
            <v>PW1N-OAWAP1101</v>
          </cell>
        </row>
        <row r="902">
          <cell r="H902">
            <v>98</v>
          </cell>
        </row>
        <row r="903">
          <cell r="C903" t="str">
            <v>PW1N-AP1201BG</v>
          </cell>
        </row>
        <row r="903">
          <cell r="H903">
            <v>98</v>
          </cell>
        </row>
        <row r="904">
          <cell r="C904" t="str">
            <v>PW1N-OAWAP1201</v>
          </cell>
        </row>
        <row r="904">
          <cell r="H904">
            <v>98</v>
          </cell>
        </row>
        <row r="905">
          <cell r="C905" t="str">
            <v>PW1N-OAWAP1221</v>
          </cell>
        </row>
        <row r="905">
          <cell r="H905">
            <v>252</v>
          </cell>
        </row>
        <row r="906">
          <cell r="C906" t="str">
            <v>PW1N-OAWAP1222</v>
          </cell>
        </row>
        <row r="906">
          <cell r="H906">
            <v>224</v>
          </cell>
        </row>
        <row r="907">
          <cell r="C907" t="str">
            <v>PW1N-OAWAP1231</v>
          </cell>
        </row>
        <row r="907">
          <cell r="H907">
            <v>392</v>
          </cell>
        </row>
        <row r="908">
          <cell r="C908" t="str">
            <v>PW1N-OAWAP1232</v>
          </cell>
        </row>
        <row r="908">
          <cell r="H908">
            <v>392</v>
          </cell>
        </row>
        <row r="909">
          <cell r="C909" t="str">
            <v>PW1N-OAWAP1251</v>
          </cell>
        </row>
        <row r="909">
          <cell r="H909">
            <v>364</v>
          </cell>
        </row>
        <row r="910">
          <cell r="C910" t="str">
            <v>PW1N-OAWAP1261B</v>
          </cell>
        </row>
        <row r="910">
          <cell r="H910">
            <v>168</v>
          </cell>
        </row>
        <row r="911">
          <cell r="C911" t="str">
            <v>PW1N-OAWAP1301</v>
          </cell>
        </row>
        <row r="911">
          <cell r="H911">
            <v>154</v>
          </cell>
        </row>
        <row r="912">
          <cell r="C912" t="str">
            <v>PW1N-OAWAP1301H</v>
          </cell>
        </row>
        <row r="912">
          <cell r="H912">
            <v>154</v>
          </cell>
        </row>
        <row r="913">
          <cell r="C913" t="str">
            <v>PW1N-OAWAP1311</v>
          </cell>
        </row>
        <row r="913">
          <cell r="H913">
            <v>224</v>
          </cell>
        </row>
        <row r="914">
          <cell r="C914" t="str">
            <v>PW1N-OAWAP1320</v>
          </cell>
        </row>
        <row r="914">
          <cell r="H914">
            <v>322</v>
          </cell>
        </row>
        <row r="915">
          <cell r="C915" t="str">
            <v>PW1N-OAWAP1331</v>
          </cell>
        </row>
        <row r="915">
          <cell r="H915">
            <v>476</v>
          </cell>
        </row>
        <row r="916">
          <cell r="C916" t="str">
            <v>PW1N-OAWAP1351</v>
          </cell>
        </row>
        <row r="916">
          <cell r="H916">
            <v>602</v>
          </cell>
        </row>
        <row r="917">
          <cell r="C917" t="str">
            <v>PW1N-OAWAP1360</v>
          </cell>
        </row>
        <row r="917">
          <cell r="H917">
            <v>574</v>
          </cell>
        </row>
        <row r="918">
          <cell r="C918" t="str">
            <v>PW1N-OAWAP1411</v>
          </cell>
        </row>
        <row r="918">
          <cell r="H918">
            <v>308</v>
          </cell>
        </row>
        <row r="919">
          <cell r="C919" t="str">
            <v>PW1N-OAWAP1431</v>
          </cell>
        </row>
        <row r="919">
          <cell r="H919">
            <v>406</v>
          </cell>
        </row>
        <row r="920">
          <cell r="C920" t="str">
            <v>PW1N-OAWAP1451</v>
          </cell>
        </row>
        <row r="920">
          <cell r="H920">
            <v>644</v>
          </cell>
        </row>
        <row r="921">
          <cell r="C921" t="str">
            <v>PW1N-OAWAP1501</v>
          </cell>
        </row>
        <row r="921">
          <cell r="H921">
            <v>322</v>
          </cell>
        </row>
        <row r="922">
          <cell r="C922" t="str">
            <v>PW1N-OAWAP1511</v>
          </cell>
        </row>
        <row r="922">
          <cell r="H922">
            <v>364</v>
          </cell>
        </row>
        <row r="923">
          <cell r="C923" t="str">
            <v>PW1N-OAWAP1521</v>
          </cell>
        </row>
        <row r="923">
          <cell r="H923">
            <v>476</v>
          </cell>
        </row>
        <row r="924">
          <cell r="C924" t="str">
            <v>PW1N-OAWAP1541</v>
          </cell>
        </row>
        <row r="924">
          <cell r="H924">
            <v>700</v>
          </cell>
        </row>
        <row r="925">
          <cell r="C925" t="str">
            <v>PW1N-OAWAP1542</v>
          </cell>
        </row>
        <row r="925">
          <cell r="H925">
            <v>700</v>
          </cell>
        </row>
        <row r="926">
          <cell r="C926" t="str">
            <v>PW1N-OAWAP1561</v>
          </cell>
        </row>
        <row r="926">
          <cell r="H926">
            <v>616</v>
          </cell>
        </row>
        <row r="927">
          <cell r="C927" t="str">
            <v>PW1N-OAWAP1571</v>
          </cell>
        </row>
        <row r="927">
          <cell r="H927">
            <v>616</v>
          </cell>
        </row>
        <row r="928">
          <cell r="C928" t="str">
            <v>PW1N-OAWAP1572</v>
          </cell>
        </row>
        <row r="928">
          <cell r="H928">
            <v>616</v>
          </cell>
        </row>
        <row r="929">
          <cell r="C929" t="str">
            <v>PW2N-OAWAP1101</v>
          </cell>
        </row>
        <row r="929">
          <cell r="H929">
            <v>182</v>
          </cell>
        </row>
        <row r="930">
          <cell r="C930" t="str">
            <v>PW2N-AP1201BG</v>
          </cell>
        </row>
        <row r="930">
          <cell r="H930">
            <v>196</v>
          </cell>
        </row>
        <row r="931">
          <cell r="C931" t="str">
            <v>PW2N-OAWAP1201</v>
          </cell>
        </row>
        <row r="931">
          <cell r="H931">
            <v>196</v>
          </cell>
        </row>
        <row r="932">
          <cell r="C932" t="str">
            <v>PW2N-OAWAP1221</v>
          </cell>
        </row>
        <row r="932">
          <cell r="H932">
            <v>476</v>
          </cell>
        </row>
        <row r="933">
          <cell r="C933" t="str">
            <v>PW2N-OAWAP1222</v>
          </cell>
        </row>
        <row r="933">
          <cell r="H933">
            <v>420</v>
          </cell>
        </row>
        <row r="934">
          <cell r="C934" t="str">
            <v>PW2N-OAWAP1231</v>
          </cell>
        </row>
        <row r="934">
          <cell r="H934">
            <v>742</v>
          </cell>
        </row>
        <row r="935">
          <cell r="C935" t="str">
            <v>PW2N-OAWAP1232</v>
          </cell>
        </row>
        <row r="935">
          <cell r="H935">
            <v>742</v>
          </cell>
        </row>
        <row r="936">
          <cell r="C936" t="str">
            <v>PW2N-OAWAP1251</v>
          </cell>
        </row>
        <row r="936">
          <cell r="H936">
            <v>686</v>
          </cell>
        </row>
        <row r="937">
          <cell r="C937" t="str">
            <v>PW2N-OAWAP1261B</v>
          </cell>
        </row>
        <row r="937">
          <cell r="H937">
            <v>308</v>
          </cell>
        </row>
        <row r="938">
          <cell r="C938" t="str">
            <v>PW2N-OAWAP1301</v>
          </cell>
        </row>
        <row r="938">
          <cell r="H938">
            <v>294</v>
          </cell>
        </row>
        <row r="939">
          <cell r="C939" t="str">
            <v>PW2N-OAWAP1301H</v>
          </cell>
        </row>
        <row r="939">
          <cell r="H939">
            <v>294</v>
          </cell>
        </row>
        <row r="940">
          <cell r="C940" t="str">
            <v>PW2N-OAWAP1311</v>
          </cell>
        </row>
        <row r="940">
          <cell r="H940">
            <v>420</v>
          </cell>
        </row>
        <row r="941">
          <cell r="C941" t="str">
            <v>PW2N-OAWAP1320</v>
          </cell>
        </row>
        <row r="941">
          <cell r="H941">
            <v>602</v>
          </cell>
        </row>
        <row r="942">
          <cell r="C942" t="str">
            <v>PW2N-OAWAP1331</v>
          </cell>
        </row>
        <row r="942">
          <cell r="H942">
            <v>896</v>
          </cell>
        </row>
        <row r="943">
          <cell r="C943" t="str">
            <v>PW2N-OAWAP1351</v>
          </cell>
        </row>
        <row r="943">
          <cell r="H943">
            <v>1148</v>
          </cell>
        </row>
        <row r="944">
          <cell r="C944" t="str">
            <v>PW2N-OAWAP1360</v>
          </cell>
        </row>
        <row r="944">
          <cell r="H944">
            <v>1078</v>
          </cell>
        </row>
        <row r="945">
          <cell r="C945" t="str">
            <v>PW2N-OAWAP1451</v>
          </cell>
        </row>
        <row r="945">
          <cell r="H945">
            <v>1204</v>
          </cell>
        </row>
        <row r="946">
          <cell r="C946" t="str">
            <v>PW2N-OAWAP1411</v>
          </cell>
        </row>
        <row r="946">
          <cell r="H946">
            <v>574</v>
          </cell>
        </row>
        <row r="947">
          <cell r="C947" t="str">
            <v>PW2N-OAWAP1431</v>
          </cell>
        </row>
        <row r="947">
          <cell r="H947">
            <v>756</v>
          </cell>
        </row>
        <row r="948">
          <cell r="C948" t="str">
            <v>PW2N-OAWAP1501</v>
          </cell>
        </row>
        <row r="948">
          <cell r="H948">
            <v>598</v>
          </cell>
        </row>
        <row r="949">
          <cell r="C949" t="str">
            <v>PW2N-OAWAP1511</v>
          </cell>
        </row>
        <row r="949">
          <cell r="H949">
            <v>686</v>
          </cell>
        </row>
        <row r="950">
          <cell r="C950" t="str">
            <v>PW2N-OAWAP1521</v>
          </cell>
        </row>
        <row r="950">
          <cell r="H950">
            <v>896</v>
          </cell>
        </row>
        <row r="951">
          <cell r="C951" t="str">
            <v>PW2N-OAWAP1541</v>
          </cell>
        </row>
        <row r="951">
          <cell r="H951">
            <v>1316</v>
          </cell>
        </row>
        <row r="952">
          <cell r="C952" t="str">
            <v>PW2N-OAWAP1542</v>
          </cell>
        </row>
        <row r="952">
          <cell r="H952">
            <v>1316</v>
          </cell>
        </row>
        <row r="953">
          <cell r="C953" t="str">
            <v>PW2N-OAWAP1561</v>
          </cell>
        </row>
        <row r="953">
          <cell r="H953">
            <v>1162</v>
          </cell>
        </row>
        <row r="954">
          <cell r="C954" t="str">
            <v>PW2N-OAWAP1571</v>
          </cell>
        </row>
        <row r="954">
          <cell r="H954">
            <v>1162</v>
          </cell>
        </row>
        <row r="955">
          <cell r="C955" t="str">
            <v>PW2N-OAWAP1572</v>
          </cell>
        </row>
        <row r="955">
          <cell r="H955">
            <v>1162</v>
          </cell>
        </row>
        <row r="956">
          <cell r="C956" t="str">
            <v>PW3N-AP1201BG</v>
          </cell>
        </row>
        <row r="956">
          <cell r="H956">
            <v>280</v>
          </cell>
        </row>
        <row r="957">
          <cell r="C957" t="str">
            <v>PW3N-OAWAP1201</v>
          </cell>
        </row>
        <row r="957">
          <cell r="H957">
            <v>1092</v>
          </cell>
        </row>
        <row r="958">
          <cell r="C958" t="str">
            <v>PW3N-OAWAP1231</v>
          </cell>
        </row>
        <row r="958">
          <cell r="H958">
            <v>1116.3096</v>
          </cell>
        </row>
        <row r="959">
          <cell r="C959" t="str">
            <v>PW3N-OAWAP1232</v>
          </cell>
        </row>
        <row r="959">
          <cell r="H959">
            <v>1092</v>
          </cell>
        </row>
        <row r="960">
          <cell r="C960" t="str">
            <v>PW3N-OAWAP1251</v>
          </cell>
        </row>
        <row r="960">
          <cell r="H960">
            <v>994</v>
          </cell>
        </row>
        <row r="961">
          <cell r="C961" t="str">
            <v>PW3N-OAWAP1261B</v>
          </cell>
        </row>
        <row r="961">
          <cell r="H961">
            <v>448</v>
          </cell>
        </row>
        <row r="962">
          <cell r="C962" t="str">
            <v>PW3N-OAWAP1301H</v>
          </cell>
        </row>
        <row r="962">
          <cell r="H962">
            <v>434</v>
          </cell>
        </row>
        <row r="963">
          <cell r="C963" t="str">
            <v>PW3N-OAWAP1301</v>
          </cell>
        </row>
        <row r="963">
          <cell r="H963">
            <v>434</v>
          </cell>
        </row>
        <row r="964">
          <cell r="C964" t="str">
            <v>PW3N-OAWAP1311</v>
          </cell>
        </row>
        <row r="964">
          <cell r="H964">
            <v>602</v>
          </cell>
        </row>
        <row r="965">
          <cell r="C965" t="str">
            <v>PW3N-OAWAP1320</v>
          </cell>
        </row>
        <row r="965">
          <cell r="H965">
            <v>868</v>
          </cell>
        </row>
        <row r="966">
          <cell r="C966" t="str">
            <v>PW3N-OAWAP1331</v>
          </cell>
        </row>
        <row r="966">
          <cell r="H966">
            <v>1302</v>
          </cell>
        </row>
        <row r="967">
          <cell r="C967" t="str">
            <v>PW3N-OAWAP1351</v>
          </cell>
        </row>
        <row r="967">
          <cell r="H967">
            <v>1652</v>
          </cell>
        </row>
        <row r="968">
          <cell r="C968" t="str">
            <v>PW3N-OAWAP1360</v>
          </cell>
        </row>
        <row r="968">
          <cell r="H968">
            <v>1568</v>
          </cell>
        </row>
        <row r="969">
          <cell r="C969" t="str">
            <v>PW3N-OAWAP1451</v>
          </cell>
        </row>
        <row r="969">
          <cell r="H969">
            <v>1750</v>
          </cell>
        </row>
        <row r="970">
          <cell r="C970" t="str">
            <v>PW3N-OAWAP1431</v>
          </cell>
        </row>
        <row r="970">
          <cell r="H970">
            <v>1092</v>
          </cell>
        </row>
        <row r="971">
          <cell r="C971" t="str">
            <v>PW3N-OAWAP1411</v>
          </cell>
        </row>
        <row r="971">
          <cell r="H971">
            <v>840</v>
          </cell>
        </row>
        <row r="972">
          <cell r="C972" t="str">
            <v>PW3N-OAWAP1501</v>
          </cell>
        </row>
        <row r="972">
          <cell r="H972">
            <v>874</v>
          </cell>
        </row>
        <row r="973">
          <cell r="C973" t="str">
            <v>PW3N-OAWAP1511</v>
          </cell>
        </row>
        <row r="973">
          <cell r="H973">
            <v>994</v>
          </cell>
        </row>
        <row r="974">
          <cell r="C974" t="str">
            <v>PW3N-OAWAP1521</v>
          </cell>
        </row>
        <row r="974">
          <cell r="H974">
            <v>1302</v>
          </cell>
        </row>
        <row r="975">
          <cell r="C975" t="str">
            <v>PW3N-OAWAP1541</v>
          </cell>
        </row>
        <row r="975">
          <cell r="H975">
            <v>1904</v>
          </cell>
        </row>
        <row r="976">
          <cell r="C976" t="str">
            <v>PW3N-OAWAP1542</v>
          </cell>
        </row>
        <row r="976">
          <cell r="H976">
            <v>1904</v>
          </cell>
        </row>
        <row r="977">
          <cell r="C977" t="str">
            <v>PW3N-OAWAP1561</v>
          </cell>
        </row>
        <row r="977">
          <cell r="H977">
            <v>1680</v>
          </cell>
        </row>
        <row r="978">
          <cell r="C978" t="str">
            <v>PW3N-OAWAP1571</v>
          </cell>
        </row>
        <row r="978">
          <cell r="H978">
            <v>1680</v>
          </cell>
        </row>
        <row r="979">
          <cell r="C979" t="str">
            <v>PW3N-OAWAP1572</v>
          </cell>
        </row>
        <row r="979">
          <cell r="H979">
            <v>1680</v>
          </cell>
        </row>
        <row r="980">
          <cell r="C980" t="str">
            <v>PW5N-AP1201BG</v>
          </cell>
        </row>
        <row r="980">
          <cell r="H980">
            <v>434</v>
          </cell>
        </row>
        <row r="981">
          <cell r="C981" t="str">
            <v>PW5N-OAWAP1201</v>
          </cell>
        </row>
        <row r="981">
          <cell r="H981">
            <v>672</v>
          </cell>
        </row>
        <row r="982">
          <cell r="C982" t="str">
            <v>PW5N-OAWAP1231</v>
          </cell>
        </row>
        <row r="982">
          <cell r="H982">
            <v>1674.4644</v>
          </cell>
        </row>
        <row r="983">
          <cell r="C983" t="str">
            <v>PW5N-OAWAP1232</v>
          </cell>
        </row>
        <row r="983">
          <cell r="H983">
            <v>1674.4644</v>
          </cell>
        </row>
        <row r="984">
          <cell r="C984" t="str">
            <v>PW5N-OAWAP1261B</v>
          </cell>
        </row>
        <row r="984">
          <cell r="H984">
            <v>700</v>
          </cell>
        </row>
        <row r="985">
          <cell r="C985" t="str">
            <v>PW5N-OAWAP1301</v>
          </cell>
        </row>
        <row r="985">
          <cell r="H985">
            <v>672</v>
          </cell>
        </row>
        <row r="986">
          <cell r="C986" t="str">
            <v>PW5N-OAWAP1301H</v>
          </cell>
        </row>
        <row r="986">
          <cell r="H986">
            <v>672</v>
          </cell>
        </row>
        <row r="987">
          <cell r="C987" t="str">
            <v>PW5N-OAWAP1311</v>
          </cell>
        </row>
        <row r="987">
          <cell r="H987">
            <v>952</v>
          </cell>
        </row>
        <row r="988">
          <cell r="C988" t="str">
            <v>PW5N-OAWAP1320</v>
          </cell>
        </row>
        <row r="988">
          <cell r="H988">
            <v>1358</v>
          </cell>
        </row>
        <row r="989">
          <cell r="C989" t="str">
            <v>PW5N-OAWAP1331</v>
          </cell>
        </row>
        <row r="989">
          <cell r="H989">
            <v>2030</v>
          </cell>
        </row>
        <row r="990">
          <cell r="C990" t="str">
            <v>PW5N-OAWAP1351</v>
          </cell>
        </row>
        <row r="990">
          <cell r="H990">
            <v>2576</v>
          </cell>
        </row>
        <row r="991">
          <cell r="C991" t="str">
            <v>PW5N-OAWAP1360</v>
          </cell>
        </row>
        <row r="991">
          <cell r="H991">
            <v>2450</v>
          </cell>
        </row>
        <row r="992">
          <cell r="C992" t="str">
            <v>PW5N-OAWAP1411</v>
          </cell>
        </row>
        <row r="992">
          <cell r="H992">
            <v>1302</v>
          </cell>
        </row>
        <row r="993">
          <cell r="C993" t="str">
            <v>PW5N-OAWAP1431</v>
          </cell>
        </row>
        <row r="993">
          <cell r="H993">
            <v>1694</v>
          </cell>
        </row>
        <row r="994">
          <cell r="C994" t="str">
            <v>PW5N-OAWAP1451</v>
          </cell>
        </row>
        <row r="994">
          <cell r="H994">
            <v>2716</v>
          </cell>
        </row>
        <row r="995">
          <cell r="C995" t="str">
            <v>PW5N-OAWAP1501</v>
          </cell>
        </row>
        <row r="995">
          <cell r="H995">
            <v>1357</v>
          </cell>
        </row>
        <row r="996">
          <cell r="C996" t="str">
            <v>PW5N-OAWAP1511</v>
          </cell>
        </row>
        <row r="996">
          <cell r="H996">
            <v>1540</v>
          </cell>
        </row>
        <row r="997">
          <cell r="C997" t="str">
            <v>PW5N-OAWAP1521</v>
          </cell>
        </row>
        <row r="997">
          <cell r="H997">
            <v>2016</v>
          </cell>
        </row>
        <row r="998">
          <cell r="C998" t="str">
            <v>PW5N-OAWAP1541</v>
          </cell>
        </row>
        <row r="998">
          <cell r="H998">
            <v>2968</v>
          </cell>
        </row>
        <row r="999">
          <cell r="C999" t="str">
            <v>PW5N-OAWAP1542</v>
          </cell>
        </row>
        <row r="999">
          <cell r="H999">
            <v>2968</v>
          </cell>
        </row>
        <row r="1000">
          <cell r="C1000" t="str">
            <v>PW5N-OAWAP1561</v>
          </cell>
        </row>
        <row r="1000">
          <cell r="H1000">
            <v>2618</v>
          </cell>
        </row>
        <row r="1001">
          <cell r="C1001" t="str">
            <v>PW5N-OAWAP1571</v>
          </cell>
        </row>
        <row r="1001">
          <cell r="H1001">
            <v>2618</v>
          </cell>
        </row>
        <row r="1002">
          <cell r="C1002" t="str">
            <v>PW5N-OAWAP1572</v>
          </cell>
        </row>
        <row r="1002">
          <cell r="H1002">
            <v>2618</v>
          </cell>
        </row>
        <row r="1003">
          <cell r="C1003" t="str">
            <v>OAW-6110</v>
          </cell>
        </row>
        <row r="1003">
          <cell r="H1003">
            <v>125580</v>
          </cell>
        </row>
        <row r="1004">
          <cell r="C1004" t="str">
            <v>OAW-AP-N</v>
          </cell>
        </row>
        <row r="1004">
          <cell r="H1004">
            <v>750</v>
          </cell>
        </row>
        <row r="1005">
          <cell r="C1005" t="str">
            <v>OA-ESR5600-F5</v>
          </cell>
        </row>
        <row r="1005">
          <cell r="H1005">
            <v>57500</v>
          </cell>
        </row>
        <row r="1006">
          <cell r="C1006" t="str">
            <v>OA-ESR5600-F10</v>
          </cell>
        </row>
        <row r="1006">
          <cell r="H1006">
            <v>150000</v>
          </cell>
        </row>
        <row r="1007">
          <cell r="C1007" t="str">
            <v>OA-ESR5600-F30</v>
          </cell>
        </row>
        <row r="1007">
          <cell r="H1007">
            <v>529000</v>
          </cell>
        </row>
        <row r="1008">
          <cell r="C1008" t="str">
            <v>OA-ESR5600-F40</v>
          </cell>
        </row>
        <row r="1008">
          <cell r="H1008">
            <v>874000</v>
          </cell>
        </row>
        <row r="1009">
          <cell r="C1009" t="str">
            <v>ESR-GNI-C4</v>
          </cell>
        </row>
        <row r="1009">
          <cell r="H1009">
            <v>62100</v>
          </cell>
        </row>
        <row r="1010">
          <cell r="C1010" t="str">
            <v>ESR-GNI-U4</v>
          </cell>
        </row>
        <row r="1010">
          <cell r="H1010">
            <v>73600</v>
          </cell>
        </row>
        <row r="1011">
          <cell r="C1011" t="str">
            <v>ESR-XNI-U4</v>
          </cell>
        </row>
        <row r="1011">
          <cell r="H1011">
            <v>227720</v>
          </cell>
        </row>
        <row r="1012">
          <cell r="C1012" t="str">
            <v>ESR-WNI-W4G</v>
          </cell>
        </row>
        <row r="1012">
          <cell r="H1012">
            <v>5750</v>
          </cell>
        </row>
        <row r="1013">
          <cell r="C1013" t="str">
            <v>ESR-WNI-W5G</v>
          </cell>
        </row>
        <row r="1013">
          <cell r="H1013">
            <v>44850</v>
          </cell>
        </row>
        <row r="1014">
          <cell r="C1014" t="str">
            <v>ESR-WNI-WLAN</v>
          </cell>
        </row>
        <row r="1014">
          <cell r="H1014">
            <v>3450</v>
          </cell>
        </row>
        <row r="1015">
          <cell r="C1015" t="str">
            <v>ESR-XNI-U2C</v>
          </cell>
        </row>
        <row r="1015">
          <cell r="H1015">
            <v>65550</v>
          </cell>
        </row>
        <row r="1016">
          <cell r="C1016" t="str">
            <v>ESR-F5-IPS-1Y</v>
          </cell>
        </row>
        <row r="1016">
          <cell r="H1016">
            <v>24518</v>
          </cell>
        </row>
        <row r="1017">
          <cell r="C1017" t="str">
            <v>ESR-F5-IPS-3Y</v>
          </cell>
        </row>
        <row r="1017">
          <cell r="H1017">
            <v>73556</v>
          </cell>
        </row>
        <row r="1018">
          <cell r="C1018" t="str">
            <v>ESR-F5-AV-1Y</v>
          </cell>
        </row>
        <row r="1018">
          <cell r="H1018">
            <v>34326</v>
          </cell>
        </row>
        <row r="1019">
          <cell r="C1019" t="str">
            <v>ESR-F5-AV-3Y</v>
          </cell>
        </row>
        <row r="1019">
          <cell r="H1019">
            <v>102980</v>
          </cell>
        </row>
        <row r="1020">
          <cell r="C1020" t="str">
            <v>ESR-F10-IPS-1Y</v>
          </cell>
        </row>
        <row r="1020">
          <cell r="H1020">
            <v>24518</v>
          </cell>
        </row>
        <row r="1021">
          <cell r="C1021" t="str">
            <v>ESR-F10-IPS-3Y</v>
          </cell>
        </row>
        <row r="1021">
          <cell r="H1021">
            <v>73556</v>
          </cell>
        </row>
        <row r="1022">
          <cell r="C1022" t="str">
            <v>ESR-F10-AV-1Y</v>
          </cell>
        </row>
        <row r="1022">
          <cell r="H1022">
            <v>34326</v>
          </cell>
        </row>
        <row r="1023">
          <cell r="C1023" t="str">
            <v>ESR-F10-AV-3Y</v>
          </cell>
        </row>
        <row r="1023">
          <cell r="H1023">
            <v>102980</v>
          </cell>
        </row>
        <row r="1024">
          <cell r="C1024" t="str">
            <v>ESR-F30-IPS-1Y</v>
          </cell>
        </row>
        <row r="1024">
          <cell r="H1024">
            <v>38005</v>
          </cell>
        </row>
        <row r="1025">
          <cell r="C1025" t="str">
            <v>ESR-F30-IPS-3Y</v>
          </cell>
        </row>
        <row r="1025">
          <cell r="H1025">
            <v>114012</v>
          </cell>
        </row>
        <row r="1026">
          <cell r="C1026" t="str">
            <v>ESR-F30-AV-1Y</v>
          </cell>
        </row>
        <row r="1026">
          <cell r="H1026">
            <v>34326</v>
          </cell>
        </row>
        <row r="1027">
          <cell r="C1027" t="str">
            <v>ESR-F30-AV-3Y</v>
          </cell>
        </row>
        <row r="1027">
          <cell r="H1027">
            <v>102980</v>
          </cell>
        </row>
        <row r="1028">
          <cell r="C1028" t="str">
            <v>ESR-F40-IPS-1Y</v>
          </cell>
        </row>
        <row r="1028">
          <cell r="H1028">
            <v>38005</v>
          </cell>
        </row>
        <row r="1029">
          <cell r="C1029" t="str">
            <v>ESR-F40-IPS-3Y</v>
          </cell>
        </row>
        <row r="1029">
          <cell r="H1029">
            <v>114012</v>
          </cell>
        </row>
        <row r="1030">
          <cell r="C1030" t="str">
            <v>ESR-F40-AV-1Y</v>
          </cell>
        </row>
        <row r="1030">
          <cell r="H1030">
            <v>34326</v>
          </cell>
        </row>
        <row r="1031">
          <cell r="C1031" t="str">
            <v>ESR-F40-AV-3Y</v>
          </cell>
        </row>
        <row r="1031">
          <cell r="H1031">
            <v>102980</v>
          </cell>
        </row>
        <row r="1032">
          <cell r="C1032" t="str">
            <v>ESR-AC-1Y</v>
          </cell>
        </row>
        <row r="1032">
          <cell r="H1032">
            <v>20842</v>
          </cell>
        </row>
        <row r="1033">
          <cell r="C1033" t="str">
            <v>ESR-AC-3Y</v>
          </cell>
        </row>
        <row r="1033">
          <cell r="H1033">
            <v>60072</v>
          </cell>
        </row>
        <row r="1034">
          <cell r="C1034" t="str">
            <v>ESR-ATP-1Y</v>
          </cell>
        </row>
        <row r="1034">
          <cell r="H1034">
            <v>71105</v>
          </cell>
        </row>
        <row r="1035">
          <cell r="C1035" t="str">
            <v>ESR-ATP-3Y</v>
          </cell>
        </row>
        <row r="1035">
          <cell r="H1035">
            <v>208410</v>
          </cell>
        </row>
        <row r="1036">
          <cell r="C1036" t="str">
            <v>ESR-WAF-1Y</v>
          </cell>
        </row>
        <row r="1036">
          <cell r="H1036">
            <v>24518</v>
          </cell>
        </row>
        <row r="1037">
          <cell r="C1037" t="str">
            <v> ESR-WAF-3Y</v>
          </cell>
        </row>
        <row r="1037">
          <cell r="H1037">
            <v>58846</v>
          </cell>
        </row>
        <row r="1038">
          <cell r="C1038" t="str">
            <v> ESR-CTIP-1Y</v>
          </cell>
        </row>
        <row r="1038">
          <cell r="H1038">
            <v>40840</v>
          </cell>
        </row>
        <row r="1039">
          <cell r="C1039" t="str">
            <v>ESR-CTIP-3Y</v>
          </cell>
        </row>
        <row r="1039">
          <cell r="H1039">
            <v>63010</v>
          </cell>
        </row>
        <row r="1040">
          <cell r="C1040" t="str">
            <v>ESR-SDWAN-C</v>
          </cell>
        </row>
        <row r="1040">
          <cell r="H1040">
            <v>0</v>
          </cell>
        </row>
        <row r="1041">
          <cell r="C1041" t="str">
            <v>ESR-SDWAN-30</v>
          </cell>
        </row>
        <row r="1041">
          <cell r="H1041">
            <v>367780</v>
          </cell>
        </row>
        <row r="1042">
          <cell r="C1042" t="str">
            <v>ESR-SDWAN-50</v>
          </cell>
        </row>
        <row r="1042">
          <cell r="H1042">
            <v>441340</v>
          </cell>
        </row>
        <row r="1043">
          <cell r="C1043" t="str">
            <v>ESR-SDWAN-100</v>
          </cell>
        </row>
        <row r="1043">
          <cell r="H1043">
            <v>612970</v>
          </cell>
        </row>
        <row r="1044">
          <cell r="C1044" t="str">
            <v>ESR-SDWAN-300</v>
          </cell>
        </row>
        <row r="1044">
          <cell r="H1044">
            <v>858160</v>
          </cell>
        </row>
        <row r="1045">
          <cell r="C1045" t="str">
            <v>ESR-SDWAN-500</v>
          </cell>
        </row>
        <row r="1045">
          <cell r="H1045">
            <v>1348540</v>
          </cell>
        </row>
        <row r="1046">
          <cell r="C1046" t="str">
            <v>OV4-START-NEW</v>
          </cell>
        </row>
        <row r="1046">
          <cell r="H1046">
            <v>0.1794</v>
          </cell>
        </row>
        <row r="1047">
          <cell r="C1047" t="str">
            <v>OV4-NMS-HA</v>
          </cell>
        </row>
        <row r="1047">
          <cell r="H1047">
            <v>179400</v>
          </cell>
        </row>
        <row r="1048">
          <cell r="C1048" t="str">
            <v>OV-NM-EX-10-N</v>
          </cell>
        </row>
        <row r="1048">
          <cell r="H1048">
            <v>59202</v>
          </cell>
        </row>
        <row r="1049">
          <cell r="C1049" t="str">
            <v>OV-NM-EX-20-N</v>
          </cell>
        </row>
        <row r="1049">
          <cell r="H1049">
            <v>98670</v>
          </cell>
        </row>
        <row r="1050">
          <cell r="C1050" t="str">
            <v>OV-NM-EX-50-N</v>
          </cell>
        </row>
        <row r="1050">
          <cell r="H1050">
            <v>197340</v>
          </cell>
        </row>
        <row r="1051">
          <cell r="C1051" t="str">
            <v>OV-NM-EX-100-N</v>
          </cell>
        </row>
        <row r="1051">
          <cell r="H1051">
            <v>296010</v>
          </cell>
        </row>
        <row r="1052">
          <cell r="C1052" t="str">
            <v>OV-NM-EX-500-N</v>
          </cell>
        </row>
        <row r="1052">
          <cell r="H1052">
            <v>986700</v>
          </cell>
        </row>
        <row r="1053">
          <cell r="C1053" t="str">
            <v>OV-NM-EX-1K-N</v>
          </cell>
        </row>
        <row r="1053">
          <cell r="H1053">
            <v>1578720</v>
          </cell>
        </row>
        <row r="1054">
          <cell r="C1054" t="str">
            <v>OV-VMM-200-N</v>
          </cell>
        </row>
        <row r="1054">
          <cell r="H1054">
            <v>78936</v>
          </cell>
        </row>
        <row r="1055">
          <cell r="C1055" t="str">
            <v>OV-VMM-500-N</v>
          </cell>
        </row>
        <row r="1055">
          <cell r="H1055">
            <v>118404</v>
          </cell>
        </row>
        <row r="1056">
          <cell r="C1056" t="str">
            <v>OV-VMM-1K-N</v>
          </cell>
        </row>
        <row r="1056">
          <cell r="H1056">
            <v>197340</v>
          </cell>
        </row>
        <row r="1057">
          <cell r="C1057" t="str">
            <v>OV-AP-NM-10-N</v>
          </cell>
        </row>
        <row r="1057">
          <cell r="H1057">
            <v>8970</v>
          </cell>
        </row>
        <row r="1058">
          <cell r="C1058" t="str">
            <v>OV-AP-NM-100-N</v>
          </cell>
        </row>
        <row r="1058">
          <cell r="H1058">
            <v>80730</v>
          </cell>
        </row>
        <row r="1059">
          <cell r="C1059" t="str">
            <v>OV-AP-NM-20-N</v>
          </cell>
        </row>
        <row r="1059">
          <cell r="H1059">
            <v>17940</v>
          </cell>
        </row>
        <row r="1060">
          <cell r="C1060" t="str">
            <v>OV-AP-NM-50-N</v>
          </cell>
        </row>
        <row r="1060">
          <cell r="H1060">
            <v>44850</v>
          </cell>
        </row>
        <row r="1061">
          <cell r="C1061" t="str">
            <v>OV-AP-NM-500-N</v>
          </cell>
        </row>
        <row r="1061">
          <cell r="H1061">
            <v>358800</v>
          </cell>
        </row>
        <row r="1062">
          <cell r="C1062" t="str">
            <v>OV-AP-NM-1K-N</v>
          </cell>
        </row>
        <row r="1062">
          <cell r="H1062">
            <v>538200</v>
          </cell>
        </row>
        <row r="1063">
          <cell r="C1063" t="str">
            <v>OV-AP-WCF-10-N</v>
          </cell>
        </row>
        <row r="1063">
          <cell r="H1063">
            <v>10674.3</v>
          </cell>
        </row>
        <row r="1064">
          <cell r="C1064" t="str">
            <v>OV-BYOD-100-N</v>
          </cell>
        </row>
        <row r="1064">
          <cell r="H1064">
            <v>26910</v>
          </cell>
        </row>
        <row r="1065">
          <cell r="C1065" t="str">
            <v>OV-BYOD-1K-N</v>
          </cell>
        </row>
        <row r="1065">
          <cell r="H1065">
            <v>179400</v>
          </cell>
        </row>
        <row r="1066">
          <cell r="C1066" t="str">
            <v>OV-BYOD-20-N</v>
          </cell>
        </row>
        <row r="1066">
          <cell r="H1066">
            <v>5382</v>
          </cell>
        </row>
        <row r="1067">
          <cell r="C1067" t="str">
            <v>OV-BYOD-50-N</v>
          </cell>
        </row>
        <row r="1067">
          <cell r="H1067">
            <v>13455</v>
          </cell>
        </row>
        <row r="1068">
          <cell r="C1068" t="str">
            <v>OV-BYOD-500-N</v>
          </cell>
        </row>
        <row r="1068">
          <cell r="H1068">
            <v>107640</v>
          </cell>
        </row>
        <row r="1069">
          <cell r="C1069" t="str">
            <v>OV-BYOD-5K-N</v>
          </cell>
        </row>
        <row r="1069">
          <cell r="H1069">
            <v>717600</v>
          </cell>
        </row>
        <row r="1070">
          <cell r="C1070" t="str">
            <v>OV-BYOD-25K-N</v>
          </cell>
        </row>
        <row r="1070">
          <cell r="H1070">
            <v>1794000</v>
          </cell>
        </row>
        <row r="1071">
          <cell r="C1071" t="str">
            <v>OV-GA-100-N</v>
          </cell>
        </row>
        <row r="1071">
          <cell r="H1071">
            <v>26910</v>
          </cell>
        </row>
        <row r="1072">
          <cell r="C1072" t="str">
            <v>OV-GA-1K-N</v>
          </cell>
        </row>
        <row r="1072">
          <cell r="H1072">
            <v>179400</v>
          </cell>
        </row>
        <row r="1073">
          <cell r="C1073" t="str">
            <v>OV-GA-20-N</v>
          </cell>
        </row>
        <row r="1073">
          <cell r="H1073">
            <v>5382</v>
          </cell>
        </row>
        <row r="1074">
          <cell r="C1074" t="str">
            <v>OV-GA-50-N</v>
          </cell>
        </row>
        <row r="1074">
          <cell r="H1074">
            <v>13455</v>
          </cell>
        </row>
        <row r="1075">
          <cell r="C1075" t="str">
            <v>OV-GA-500-N</v>
          </cell>
        </row>
        <row r="1075">
          <cell r="H1075">
            <v>107640</v>
          </cell>
        </row>
        <row r="1076">
          <cell r="C1076" t="str">
            <v>OV-GA-5K-N</v>
          </cell>
        </row>
        <row r="1076">
          <cell r="H1076">
            <v>538200</v>
          </cell>
        </row>
        <row r="1077">
          <cell r="C1077" t="str">
            <v>OV-GA-25K-N</v>
          </cell>
        </row>
        <row r="1077">
          <cell r="H1077">
            <v>1345500</v>
          </cell>
        </row>
        <row r="1078">
          <cell r="C1078" t="str">
            <v>OV4-START-UPG</v>
          </cell>
        </row>
        <row r="1078">
          <cell r="H1078">
            <v>0.1794</v>
          </cell>
        </row>
        <row r="1079">
          <cell r="C1079" t="str">
            <v>OV-NM-EX-10-U</v>
          </cell>
        </row>
        <row r="1079">
          <cell r="H1079">
            <v>29601</v>
          </cell>
        </row>
        <row r="1080">
          <cell r="C1080" t="str">
            <v>OV-NM-EX-20-U</v>
          </cell>
        </row>
        <row r="1080">
          <cell r="H1080">
            <v>49335</v>
          </cell>
        </row>
        <row r="1081">
          <cell r="C1081" t="str">
            <v>OV-NM-EX-50-U</v>
          </cell>
        </row>
        <row r="1081">
          <cell r="H1081">
            <v>98670</v>
          </cell>
        </row>
        <row r="1082">
          <cell r="C1082" t="str">
            <v>OV-NM-EX-100-U</v>
          </cell>
        </row>
        <row r="1082">
          <cell r="H1082">
            <v>148005</v>
          </cell>
        </row>
        <row r="1083">
          <cell r="C1083" t="str">
            <v>OV-NM-EX-500-U</v>
          </cell>
        </row>
        <row r="1083">
          <cell r="H1083">
            <v>493350</v>
          </cell>
        </row>
        <row r="1084">
          <cell r="C1084" t="str">
            <v>OV-NM-EX-1K-U</v>
          </cell>
        </row>
        <row r="1084">
          <cell r="H1084">
            <v>789360</v>
          </cell>
        </row>
        <row r="1085">
          <cell r="C1085" t="str">
            <v>OV-VMM-200-U</v>
          </cell>
        </row>
        <row r="1085">
          <cell r="H1085">
            <v>39468</v>
          </cell>
        </row>
        <row r="1086">
          <cell r="C1086" t="str">
            <v>OV-VMM-500-U</v>
          </cell>
        </row>
        <row r="1086">
          <cell r="H1086">
            <v>59202</v>
          </cell>
        </row>
        <row r="1087">
          <cell r="C1087" t="str">
            <v>OV-VMM-1K-U</v>
          </cell>
        </row>
        <row r="1087">
          <cell r="H1087">
            <v>98670</v>
          </cell>
        </row>
        <row r="1088">
          <cell r="C1088" t="str">
            <v>PW3N-OVNMEX10</v>
          </cell>
        </row>
        <row r="1088">
          <cell r="H1088">
            <v>8344</v>
          </cell>
        </row>
        <row r="1089">
          <cell r="C1089" t="str">
            <v>PW5N-OVNMEX10</v>
          </cell>
        </row>
        <row r="1089">
          <cell r="H1089">
            <v>12992</v>
          </cell>
        </row>
        <row r="1090">
          <cell r="C1090" t="str">
            <v>PW3N-OVNMEX20</v>
          </cell>
        </row>
        <row r="1090">
          <cell r="H1090">
            <v>13916</v>
          </cell>
        </row>
        <row r="1091">
          <cell r="C1091" t="str">
            <v>PW5N-OVNMEX20</v>
          </cell>
        </row>
        <row r="1091">
          <cell r="H1091">
            <v>21658</v>
          </cell>
        </row>
        <row r="1092">
          <cell r="C1092" t="str">
            <v>PW3N-OVNMEX50</v>
          </cell>
        </row>
        <row r="1092">
          <cell r="H1092">
            <v>27832</v>
          </cell>
        </row>
        <row r="1093">
          <cell r="C1093" t="str">
            <v>PW5N-OVNMEX50</v>
          </cell>
        </row>
        <row r="1093">
          <cell r="H1093">
            <v>43330</v>
          </cell>
        </row>
        <row r="1094">
          <cell r="C1094" t="str">
            <v>PW3N-OVVMM200</v>
          </cell>
        </row>
        <row r="1094">
          <cell r="H1094">
            <v>11130</v>
          </cell>
        </row>
        <row r="1095">
          <cell r="C1095" t="str">
            <v>PW5N-OVVMM200</v>
          </cell>
        </row>
        <row r="1095">
          <cell r="H1095">
            <v>17332</v>
          </cell>
        </row>
        <row r="1096">
          <cell r="C1096" t="str">
            <v>PW3N-OVVMM500</v>
          </cell>
        </row>
        <row r="1096">
          <cell r="H1096">
            <v>16702</v>
          </cell>
        </row>
        <row r="1097">
          <cell r="C1097" t="str">
            <v>PW5N-OVVMM500</v>
          </cell>
        </row>
        <row r="1097">
          <cell r="H1097">
            <v>25998</v>
          </cell>
        </row>
        <row r="1098">
          <cell r="C1098" t="str">
            <v>PW5N-OV4START</v>
          </cell>
        </row>
        <row r="1098">
          <cell r="H1098">
            <v>1974</v>
          </cell>
        </row>
        <row r="1099">
          <cell r="C1099" t="str">
            <v>PW5N-OVNMEX100</v>
          </cell>
        </row>
        <row r="1099">
          <cell r="H1099">
            <v>64988</v>
          </cell>
        </row>
        <row r="1100">
          <cell r="C1100" t="str">
            <v>PW5N-OVNMEX1K</v>
          </cell>
        </row>
        <row r="1100">
          <cell r="H1100">
            <v>346598</v>
          </cell>
        </row>
        <row r="1101">
          <cell r="C1101" t="str">
            <v>PW5N-OVNMEX500</v>
          </cell>
        </row>
        <row r="1101">
          <cell r="H1101">
            <v>216622</v>
          </cell>
        </row>
        <row r="1102">
          <cell r="C1102" t="str">
            <v>PW5N-OVVMM1K</v>
          </cell>
        </row>
        <row r="1102">
          <cell r="H1102">
            <v>43330</v>
          </cell>
        </row>
        <row r="1103">
          <cell r="C1103" t="str">
            <v>PW5N-OVAPNM100N</v>
          </cell>
        </row>
        <row r="1103">
          <cell r="H1103">
            <v>17724</v>
          </cell>
        </row>
        <row r="1104">
          <cell r="C1104" t="str">
            <v>PW5N-OVAPNM10N</v>
          </cell>
        </row>
        <row r="1104">
          <cell r="H1104">
            <v>1974</v>
          </cell>
        </row>
        <row r="1105">
          <cell r="C1105" t="str">
            <v>PW5N-OVAPNM20N</v>
          </cell>
        </row>
        <row r="1105">
          <cell r="H1105">
            <v>3934</v>
          </cell>
        </row>
        <row r="1106">
          <cell r="C1106" t="str">
            <v>PW5N-OVAPNM500N</v>
          </cell>
        </row>
        <row r="1106">
          <cell r="H1106">
            <v>78778</v>
          </cell>
        </row>
        <row r="1107">
          <cell r="C1107" t="str">
            <v>PW5N-OVAPNM50N</v>
          </cell>
        </row>
        <row r="1107">
          <cell r="H1107">
            <v>9842</v>
          </cell>
        </row>
        <row r="1108">
          <cell r="C1108" t="str">
            <v>PW5N-OVBYOD100N</v>
          </cell>
        </row>
        <row r="1108">
          <cell r="H1108">
            <v>5908</v>
          </cell>
        </row>
        <row r="1109">
          <cell r="C1109" t="str">
            <v>PW5N-OVBYOD1KN</v>
          </cell>
        </row>
        <row r="1109">
          <cell r="H1109">
            <v>39382</v>
          </cell>
        </row>
        <row r="1110">
          <cell r="C1110" t="str">
            <v>PW5N-OVBYOD20N</v>
          </cell>
        </row>
        <row r="1110">
          <cell r="H1110">
            <v>1176</v>
          </cell>
        </row>
        <row r="1111">
          <cell r="C1111" t="str">
            <v>PW5N-OVBYOD500N</v>
          </cell>
        </row>
        <row r="1111">
          <cell r="H1111">
            <v>23632</v>
          </cell>
        </row>
        <row r="1112">
          <cell r="C1112" t="str">
            <v>PW5N-OVBYOD50N</v>
          </cell>
        </row>
        <row r="1112">
          <cell r="H1112">
            <v>2954</v>
          </cell>
        </row>
        <row r="1113">
          <cell r="C1113" t="str">
            <v>PW5N-OVGA100N</v>
          </cell>
        </row>
        <row r="1113">
          <cell r="H1113">
            <v>5908</v>
          </cell>
        </row>
        <row r="1114">
          <cell r="C1114" t="str">
            <v>PW5N-OVGA1KN</v>
          </cell>
        </row>
        <row r="1114">
          <cell r="H1114">
            <v>39382</v>
          </cell>
        </row>
        <row r="1115">
          <cell r="C1115" t="str">
            <v>PW5N-OVGA20N</v>
          </cell>
        </row>
        <row r="1115">
          <cell r="H1115">
            <v>1176</v>
          </cell>
        </row>
        <row r="1116">
          <cell r="C1116" t="str">
            <v>PW5N-OVGA500N</v>
          </cell>
        </row>
        <row r="1116">
          <cell r="H1116">
            <v>23632</v>
          </cell>
        </row>
        <row r="1117">
          <cell r="C1117" t="str">
            <v>PW5N-OVGA50N</v>
          </cell>
        </row>
        <row r="1117">
          <cell r="H1117">
            <v>2954</v>
          </cell>
        </row>
        <row r="1118">
          <cell r="C1118" t="str">
            <v>PW5N-OV4NMS-HA</v>
          </cell>
        </row>
        <row r="1118">
          <cell r="H1118">
            <v>48063.33</v>
          </cell>
        </row>
        <row r="1119">
          <cell r="C1119" t="str">
            <v>PW5N-OVBYOD5KN</v>
          </cell>
        </row>
        <row r="1119">
          <cell r="H1119">
            <v>157542</v>
          </cell>
        </row>
        <row r="1120">
          <cell r="C1120" t="str">
            <v>PW5N-OVBYOD25KN</v>
          </cell>
        </row>
        <row r="1120">
          <cell r="H1120">
            <v>479703.042</v>
          </cell>
        </row>
        <row r="1121">
          <cell r="C1121" t="str">
            <v>PW5N-OVGA5KN</v>
          </cell>
        </row>
        <row r="1121">
          <cell r="H1121">
            <v>393862</v>
          </cell>
        </row>
        <row r="1122">
          <cell r="C1122" t="str">
            <v>PW5N-OVGA25KN</v>
          </cell>
        </row>
        <row r="1122">
          <cell r="H1122">
            <v>295400</v>
          </cell>
        </row>
        <row r="1123">
          <cell r="C1123" t="str">
            <v>PW3N-APWCF10N</v>
          </cell>
        </row>
        <row r="1123">
          <cell r="H1123">
            <v>1512</v>
          </cell>
        </row>
        <row r="1124">
          <cell r="C1124" t="str">
            <v>PW5N-APWCF10N</v>
          </cell>
        </row>
        <row r="1124">
          <cell r="H1124">
            <v>2338</v>
          </cell>
        </row>
        <row r="1125">
          <cell r="C1125" t="str">
            <v>PW3N-OVAPNM1KN</v>
          </cell>
        </row>
        <row r="1125">
          <cell r="H1125">
            <v>75894</v>
          </cell>
        </row>
        <row r="1126">
          <cell r="C1126" t="str">
            <v>PW5N-OVAPNM1KN</v>
          </cell>
        </row>
        <row r="1126">
          <cell r="H1126">
            <v>118160</v>
          </cell>
        </row>
        <row r="1127">
          <cell r="C1127" t="str">
            <v>PW1N-APWCF10N</v>
          </cell>
        </row>
        <row r="1127">
          <cell r="H1127">
            <v>546</v>
          </cell>
        </row>
        <row r="1128">
          <cell r="C1128" t="str">
            <v>PW1N-OV4NMS-HA</v>
          </cell>
        </row>
        <row r="1128">
          <cell r="H1128">
            <v>9268</v>
          </cell>
        </row>
        <row r="1129">
          <cell r="C1129" t="str">
            <v>PW1N-OV4START</v>
          </cell>
        </row>
        <row r="1129">
          <cell r="H1129">
            <v>462</v>
          </cell>
        </row>
        <row r="1130">
          <cell r="C1130" t="str">
            <v>PW1N-OVAPNM100N</v>
          </cell>
        </row>
        <row r="1130">
          <cell r="H1130">
            <v>4172</v>
          </cell>
        </row>
        <row r="1131">
          <cell r="C1131" t="str">
            <v>PW1N-OVAPNM10N</v>
          </cell>
        </row>
        <row r="1131">
          <cell r="H1131">
            <v>462</v>
          </cell>
        </row>
        <row r="1132">
          <cell r="C1132" t="str">
            <v>PW1N-OVAPNM1KN</v>
          </cell>
        </row>
        <row r="1132">
          <cell r="H1132">
            <v>27804</v>
          </cell>
        </row>
        <row r="1133">
          <cell r="C1133" t="str">
            <v>PW1N-OVAPNM20N</v>
          </cell>
        </row>
        <row r="1133">
          <cell r="H1133">
            <v>924</v>
          </cell>
        </row>
        <row r="1134">
          <cell r="C1134" t="str">
            <v>PW1N-OVAPNM500N</v>
          </cell>
        </row>
        <row r="1134">
          <cell r="H1134">
            <v>18536</v>
          </cell>
        </row>
        <row r="1135">
          <cell r="C1135" t="str">
            <v>PW1N-OVAPNM50N</v>
          </cell>
        </row>
        <row r="1135">
          <cell r="H1135">
            <v>2310</v>
          </cell>
        </row>
        <row r="1136">
          <cell r="C1136" t="str">
            <v>PW1N-OVBYOD100N</v>
          </cell>
        </row>
        <row r="1136">
          <cell r="H1136">
            <v>1386</v>
          </cell>
        </row>
        <row r="1137">
          <cell r="C1137" t="str">
            <v>PW1N-OVBYOD1KN</v>
          </cell>
        </row>
        <row r="1137">
          <cell r="H1137">
            <v>9268</v>
          </cell>
        </row>
        <row r="1138">
          <cell r="C1138" t="str">
            <v>PW1N-OVBYOD20N</v>
          </cell>
        </row>
        <row r="1138">
          <cell r="H1138">
            <v>280</v>
          </cell>
        </row>
        <row r="1139">
          <cell r="C1139" t="str">
            <v>PW1N-OVBYOD25KN</v>
          </cell>
        </row>
        <row r="1139">
          <cell r="H1139">
            <v>92680</v>
          </cell>
        </row>
        <row r="1140">
          <cell r="C1140" t="str">
            <v>PW1N-OVBYOD500N</v>
          </cell>
        </row>
        <row r="1140">
          <cell r="H1140">
            <v>5558</v>
          </cell>
        </row>
        <row r="1141">
          <cell r="C1141" t="str">
            <v>PW1N-OVBYOD50N</v>
          </cell>
        </row>
        <row r="1141">
          <cell r="H1141">
            <v>700</v>
          </cell>
        </row>
        <row r="1142">
          <cell r="C1142" t="str">
            <v>PW1N-OVBYOD5KN</v>
          </cell>
        </row>
        <row r="1142">
          <cell r="H1142">
            <v>37072</v>
          </cell>
        </row>
        <row r="1143">
          <cell r="C1143" t="str">
            <v>PW1N-OVGA100N</v>
          </cell>
        </row>
        <row r="1143">
          <cell r="H1143">
            <v>1386</v>
          </cell>
        </row>
        <row r="1144">
          <cell r="C1144" t="str">
            <v>PW1N-OVGA1KN</v>
          </cell>
        </row>
        <row r="1144">
          <cell r="H1144">
            <v>9268</v>
          </cell>
        </row>
        <row r="1145">
          <cell r="C1145" t="str">
            <v>PW1N-OVGA20N</v>
          </cell>
        </row>
        <row r="1145">
          <cell r="H1145">
            <v>280</v>
          </cell>
        </row>
        <row r="1146">
          <cell r="C1146" t="str">
            <v>PW1N-OVGA25KN</v>
          </cell>
        </row>
        <row r="1146">
          <cell r="H1146">
            <v>69510</v>
          </cell>
        </row>
        <row r="1147">
          <cell r="C1147" t="str">
            <v>PW1N-OVGA500N</v>
          </cell>
        </row>
        <row r="1147">
          <cell r="H1147">
            <v>5558</v>
          </cell>
        </row>
        <row r="1148">
          <cell r="C1148" t="str">
            <v>PW1N-OVGA50N</v>
          </cell>
        </row>
        <row r="1148">
          <cell r="H1148">
            <v>700</v>
          </cell>
        </row>
        <row r="1149">
          <cell r="C1149" t="str">
            <v>PW1N-OVGA5KN</v>
          </cell>
        </row>
        <row r="1149">
          <cell r="H1149">
            <v>27804</v>
          </cell>
        </row>
        <row r="1150">
          <cell r="C1150" t="str">
            <v>PW1N-OVNMEX10</v>
          </cell>
        </row>
        <row r="1150">
          <cell r="H1150">
            <v>3052</v>
          </cell>
        </row>
        <row r="1151">
          <cell r="C1151" t="str">
            <v>PW1N-OVNMEX100</v>
          </cell>
        </row>
        <row r="1151">
          <cell r="H1151">
            <v>15288</v>
          </cell>
        </row>
        <row r="1152">
          <cell r="C1152" t="str">
            <v>PW1N-OVNMEX1K</v>
          </cell>
        </row>
        <row r="1152">
          <cell r="H1152">
            <v>81550</v>
          </cell>
        </row>
        <row r="1153">
          <cell r="C1153" t="str">
            <v>PW1N-OVNMEX20</v>
          </cell>
        </row>
        <row r="1153">
          <cell r="H1153">
            <v>5096</v>
          </cell>
        </row>
        <row r="1154">
          <cell r="C1154" t="str">
            <v>PW1N-OVNMEX50</v>
          </cell>
        </row>
        <row r="1154">
          <cell r="H1154">
            <v>10192</v>
          </cell>
        </row>
        <row r="1155">
          <cell r="C1155" t="str">
            <v>PW1N-OVNMEX500</v>
          </cell>
        </row>
        <row r="1155">
          <cell r="H1155">
            <v>50974</v>
          </cell>
        </row>
        <row r="1156">
          <cell r="C1156" t="str">
            <v>PW1N-OVVMM1K</v>
          </cell>
        </row>
        <row r="1156">
          <cell r="H1156">
            <v>10192</v>
          </cell>
        </row>
        <row r="1157">
          <cell r="C1157" t="str">
            <v>PW1N-OVVMM200</v>
          </cell>
        </row>
        <row r="1157">
          <cell r="H1157">
            <v>4074</v>
          </cell>
        </row>
        <row r="1158">
          <cell r="C1158" t="str">
            <v>PW1N-OVVMM500</v>
          </cell>
        </row>
        <row r="1158">
          <cell r="H1158">
            <v>6118</v>
          </cell>
        </row>
        <row r="1159">
          <cell r="C1159" t="str">
            <v>PW2N-APWCF10N</v>
          </cell>
        </row>
        <row r="1159">
          <cell r="H1159">
            <v>1036</v>
          </cell>
        </row>
        <row r="1160">
          <cell r="C1160" t="str">
            <v>PW2N-OV4NMS-HA</v>
          </cell>
        </row>
        <row r="1160">
          <cell r="H1160">
            <v>17416</v>
          </cell>
        </row>
        <row r="1161">
          <cell r="C1161" t="str">
            <v>PW2N-OV4START</v>
          </cell>
        </row>
        <row r="1161">
          <cell r="H1161">
            <v>868</v>
          </cell>
        </row>
        <row r="1162">
          <cell r="C1162" t="str">
            <v>PW2N-OVAPNM100N</v>
          </cell>
        </row>
        <row r="1162">
          <cell r="H1162">
            <v>7840</v>
          </cell>
        </row>
        <row r="1163">
          <cell r="C1163" t="str">
            <v>PW2N-OVAPNM10N</v>
          </cell>
        </row>
        <row r="1163">
          <cell r="H1163">
            <v>868</v>
          </cell>
        </row>
        <row r="1164">
          <cell r="C1164" t="str">
            <v>PW2N-OVAPNM1KN</v>
          </cell>
        </row>
        <row r="1164">
          <cell r="H1164">
            <v>52262</v>
          </cell>
        </row>
        <row r="1165">
          <cell r="C1165" t="str">
            <v>PW2N-OVAPNM20N</v>
          </cell>
        </row>
        <row r="1165">
          <cell r="H1165">
            <v>1736</v>
          </cell>
        </row>
        <row r="1166">
          <cell r="C1166" t="str">
            <v>PW2N-OVAPNM500N</v>
          </cell>
        </row>
        <row r="1166">
          <cell r="H1166">
            <v>34846</v>
          </cell>
        </row>
        <row r="1167">
          <cell r="C1167" t="str">
            <v>PW2N-OVAPNM50N</v>
          </cell>
        </row>
        <row r="1167">
          <cell r="H1167">
            <v>4354</v>
          </cell>
        </row>
        <row r="1168">
          <cell r="C1168" t="str">
            <v>PW2N-OVBYOD100N</v>
          </cell>
        </row>
        <row r="1168">
          <cell r="H1168">
            <v>2618</v>
          </cell>
        </row>
        <row r="1169">
          <cell r="C1169" t="str">
            <v>PW2N-OVBYOD1KN</v>
          </cell>
        </row>
        <row r="1169">
          <cell r="H1169">
            <v>17416</v>
          </cell>
        </row>
        <row r="1170">
          <cell r="C1170" t="str">
            <v>PW2N-OVBYOD20N</v>
          </cell>
        </row>
        <row r="1170">
          <cell r="H1170">
            <v>518</v>
          </cell>
        </row>
        <row r="1171">
          <cell r="C1171" t="str">
            <v>PW2N-OVBYOD25KN</v>
          </cell>
        </row>
        <row r="1171">
          <cell r="H1171">
            <v>174230</v>
          </cell>
        </row>
        <row r="1172">
          <cell r="C1172" t="str">
            <v>PW2N-OVBYOD500N</v>
          </cell>
        </row>
        <row r="1172">
          <cell r="H1172">
            <v>10458</v>
          </cell>
        </row>
        <row r="1173">
          <cell r="C1173" t="str">
            <v>PW2N-OVBYOD50N</v>
          </cell>
        </row>
        <row r="1173">
          <cell r="H1173">
            <v>1302</v>
          </cell>
        </row>
        <row r="1174">
          <cell r="C1174" t="str">
            <v>PW2N-OVBYOD5KN</v>
          </cell>
        </row>
        <row r="1174">
          <cell r="H1174">
            <v>69692</v>
          </cell>
        </row>
        <row r="1175">
          <cell r="C1175" t="str">
            <v>PW2N-OVGA100N</v>
          </cell>
        </row>
        <row r="1175">
          <cell r="H1175">
            <v>2618</v>
          </cell>
        </row>
        <row r="1176">
          <cell r="C1176" t="str">
            <v>PW2N-OVGA1KN</v>
          </cell>
        </row>
        <row r="1176">
          <cell r="H1176">
            <v>17416</v>
          </cell>
        </row>
        <row r="1177">
          <cell r="C1177" t="str">
            <v>PW2N-OVGA20N</v>
          </cell>
        </row>
        <row r="1177">
          <cell r="H1177">
            <v>518</v>
          </cell>
        </row>
        <row r="1178">
          <cell r="C1178" t="str">
            <v>PW2N-OVGA25KN</v>
          </cell>
        </row>
        <row r="1178">
          <cell r="H1178">
            <v>130676</v>
          </cell>
        </row>
        <row r="1179">
          <cell r="C1179" t="str">
            <v>PW2N-OVGA500N</v>
          </cell>
        </row>
        <row r="1179">
          <cell r="H1179">
            <v>10458</v>
          </cell>
        </row>
        <row r="1180">
          <cell r="C1180" t="str">
            <v>PW2N-OVGA50N</v>
          </cell>
        </row>
        <row r="1180">
          <cell r="H1180">
            <v>1302</v>
          </cell>
        </row>
        <row r="1181">
          <cell r="C1181" t="str">
            <v>PW2N-OVGA5KN</v>
          </cell>
        </row>
        <row r="1181">
          <cell r="H1181">
            <v>52262</v>
          </cell>
        </row>
        <row r="1182">
          <cell r="C1182" t="str">
            <v>PW2N-OVNMEX10</v>
          </cell>
        </row>
        <row r="1182">
          <cell r="H1182">
            <v>5754</v>
          </cell>
        </row>
        <row r="1183">
          <cell r="C1183" t="str">
            <v>PW2N-OVNMEX100</v>
          </cell>
        </row>
        <row r="1183">
          <cell r="H1183">
            <v>28742</v>
          </cell>
        </row>
        <row r="1184">
          <cell r="C1184" t="str">
            <v>PW2N-OVNMEX1K</v>
          </cell>
        </row>
        <row r="1184">
          <cell r="H1184">
            <v>153314</v>
          </cell>
        </row>
        <row r="1185">
          <cell r="C1185" t="str">
            <v>PW2N-OVNMEX20</v>
          </cell>
        </row>
        <row r="1185">
          <cell r="H1185">
            <v>9576</v>
          </cell>
        </row>
        <row r="1186">
          <cell r="C1186" t="str">
            <v>PW2N-OVNMEX50</v>
          </cell>
        </row>
        <row r="1186">
          <cell r="H1186">
            <v>19166</v>
          </cell>
        </row>
        <row r="1187">
          <cell r="C1187" t="str">
            <v>PW2N-OVNMEX500</v>
          </cell>
        </row>
        <row r="1187">
          <cell r="H1187">
            <v>95830</v>
          </cell>
        </row>
        <row r="1188">
          <cell r="C1188" t="str">
            <v>PW2N-OVVMM1K</v>
          </cell>
        </row>
        <row r="1188">
          <cell r="H1188">
            <v>19166</v>
          </cell>
        </row>
        <row r="1189">
          <cell r="C1189" t="str">
            <v>PW2N-OVVMM200</v>
          </cell>
        </row>
        <row r="1189">
          <cell r="H1189">
            <v>7672</v>
          </cell>
        </row>
        <row r="1190">
          <cell r="C1190" t="str">
            <v>PW2N-OVVMM500</v>
          </cell>
        </row>
        <row r="1190">
          <cell r="H1190">
            <v>11494</v>
          </cell>
        </row>
        <row r="1191">
          <cell r="C1191" t="str">
            <v>PWM1-APWCF10N</v>
          </cell>
        </row>
        <row r="1191">
          <cell r="H1191">
            <v>45.92</v>
          </cell>
        </row>
        <row r="1192">
          <cell r="C1192" t="str">
            <v>PWM1-OV4NMS-HA</v>
          </cell>
        </row>
        <row r="1192">
          <cell r="H1192">
            <v>772.24</v>
          </cell>
        </row>
        <row r="1193">
          <cell r="C1193" t="str">
            <v>PWM1-OV4START</v>
          </cell>
        </row>
        <row r="1193">
          <cell r="H1193">
            <v>38.64</v>
          </cell>
        </row>
        <row r="1194">
          <cell r="C1194" t="str">
            <v>PWM1-OVAPNM100N</v>
          </cell>
        </row>
        <row r="1194">
          <cell r="H1194">
            <v>347.48</v>
          </cell>
        </row>
        <row r="1195">
          <cell r="C1195" t="str">
            <v>PWM1-OVAPNM10N</v>
          </cell>
        </row>
        <row r="1195">
          <cell r="H1195">
            <v>38.64</v>
          </cell>
        </row>
        <row r="1196">
          <cell r="C1196" t="str">
            <v>PWM1-OVAPNM1KN</v>
          </cell>
        </row>
        <row r="1196">
          <cell r="H1196">
            <v>2316.86</v>
          </cell>
        </row>
        <row r="1197">
          <cell r="C1197" t="str">
            <v>PWM1-OVAPNM20N</v>
          </cell>
        </row>
        <row r="1197">
          <cell r="H1197">
            <v>77.28</v>
          </cell>
        </row>
        <row r="1198">
          <cell r="C1198" t="str">
            <v>PWM1-OVAPNM500N</v>
          </cell>
        </row>
        <row r="1198">
          <cell r="H1198">
            <v>1544.62</v>
          </cell>
        </row>
        <row r="1199">
          <cell r="C1199" t="str">
            <v>PWM1-OVAPNM50N</v>
          </cell>
        </row>
        <row r="1199">
          <cell r="H1199">
            <v>193.06</v>
          </cell>
        </row>
        <row r="1200">
          <cell r="C1200" t="str">
            <v>PWM1-OVBYOD100N</v>
          </cell>
        </row>
        <row r="1200">
          <cell r="H1200">
            <v>115.78</v>
          </cell>
        </row>
        <row r="1201">
          <cell r="C1201" t="str">
            <v>PWM1-OVBYOD1KN</v>
          </cell>
        </row>
        <row r="1201">
          <cell r="H1201">
            <v>772.24</v>
          </cell>
        </row>
        <row r="1202">
          <cell r="C1202" t="str">
            <v>PWM1-OVBYOD20N</v>
          </cell>
        </row>
        <row r="1202">
          <cell r="H1202">
            <v>23.1</v>
          </cell>
        </row>
        <row r="1203">
          <cell r="C1203" t="str">
            <v>PWM1-OVBYOD25KN</v>
          </cell>
        </row>
        <row r="1203">
          <cell r="H1203">
            <v>7722.82</v>
          </cell>
        </row>
        <row r="1204">
          <cell r="C1204" t="str">
            <v>PWM1-OVBYOD500N</v>
          </cell>
        </row>
        <row r="1204">
          <cell r="H1204">
            <v>463.4</v>
          </cell>
        </row>
        <row r="1205">
          <cell r="C1205" t="str">
            <v>PWM1-OVBYOD50N</v>
          </cell>
        </row>
        <row r="1205">
          <cell r="H1205">
            <v>57.96</v>
          </cell>
        </row>
        <row r="1206">
          <cell r="C1206" t="str">
            <v>PWM1-OVBYOD5KN</v>
          </cell>
        </row>
        <row r="1206">
          <cell r="H1206">
            <v>3089.1</v>
          </cell>
        </row>
        <row r="1207">
          <cell r="C1207" t="str">
            <v>PWM1-OVGA100N</v>
          </cell>
        </row>
        <row r="1207">
          <cell r="H1207">
            <v>115.78</v>
          </cell>
        </row>
        <row r="1208">
          <cell r="C1208" t="str">
            <v>PWM1-OVGA1KN</v>
          </cell>
        </row>
        <row r="1208">
          <cell r="H1208">
            <v>772.24</v>
          </cell>
        </row>
        <row r="1209">
          <cell r="C1209" t="str">
            <v>PWM1-OVGA20N</v>
          </cell>
        </row>
        <row r="1209">
          <cell r="H1209">
            <v>23.1</v>
          </cell>
        </row>
        <row r="1210">
          <cell r="C1210" t="str">
            <v>PWM1-OVGA25KN</v>
          </cell>
        </row>
        <row r="1210">
          <cell r="H1210">
            <v>5792.22</v>
          </cell>
        </row>
        <row r="1211">
          <cell r="C1211" t="str">
            <v>PWM1-OVGA500N</v>
          </cell>
        </row>
        <row r="1211">
          <cell r="H1211">
            <v>463.4</v>
          </cell>
        </row>
        <row r="1212">
          <cell r="C1212" t="str">
            <v>PWM1-OVGA50N</v>
          </cell>
        </row>
        <row r="1212">
          <cell r="H1212">
            <v>57.96</v>
          </cell>
        </row>
        <row r="1213">
          <cell r="C1213" t="str">
            <v>PWM1-OVGA5KN</v>
          </cell>
        </row>
        <row r="1213">
          <cell r="H1213">
            <v>2316.86</v>
          </cell>
        </row>
        <row r="1214">
          <cell r="C1214" t="str">
            <v>PWM1-OVNMEX100</v>
          </cell>
        </row>
        <row r="1214">
          <cell r="H1214">
            <v>1274.28</v>
          </cell>
        </row>
        <row r="1215">
          <cell r="C1215" t="str">
            <v>PWM1-OVNMEX10</v>
          </cell>
        </row>
        <row r="1215">
          <cell r="H1215">
            <v>254.8</v>
          </cell>
        </row>
        <row r="1216">
          <cell r="C1216" t="str">
            <v>PWM1-OVNMEX1K</v>
          </cell>
        </row>
        <row r="1216">
          <cell r="H1216">
            <v>6796.16</v>
          </cell>
        </row>
        <row r="1217">
          <cell r="C1217" t="str">
            <v>PWM1-OVNMEX20</v>
          </cell>
        </row>
        <row r="1217">
          <cell r="H1217">
            <v>424.76</v>
          </cell>
        </row>
        <row r="1218">
          <cell r="C1218" t="str">
            <v>PWM1-OVNMEX500</v>
          </cell>
        </row>
        <row r="1218">
          <cell r="H1218">
            <v>4247.6</v>
          </cell>
        </row>
        <row r="1219">
          <cell r="C1219" t="str">
            <v>PWM1-OVNMEX50</v>
          </cell>
        </row>
        <row r="1219">
          <cell r="H1219">
            <v>849.52</v>
          </cell>
        </row>
        <row r="1220">
          <cell r="C1220" t="str">
            <v>PWM1-OVVMM1K</v>
          </cell>
        </row>
        <row r="1220">
          <cell r="H1220">
            <v>849.52</v>
          </cell>
        </row>
        <row r="1221">
          <cell r="C1221" t="str">
            <v>PWM1-OVVMM200</v>
          </cell>
        </row>
        <row r="1221">
          <cell r="H1221">
            <v>339.78</v>
          </cell>
        </row>
        <row r="1222">
          <cell r="C1222" t="str">
            <v>PWM1-OVVMM500</v>
          </cell>
        </row>
        <row r="1222">
          <cell r="H1222">
            <v>509.74</v>
          </cell>
        </row>
        <row r="1223">
          <cell r="C1223" t="str">
            <v>OV3600-AM</v>
          </cell>
        </row>
        <row r="1223">
          <cell r="H1223">
            <v>1811.25</v>
          </cell>
        </row>
        <row r="1224">
          <cell r="C1224" t="str">
            <v>OV3600-AM25-FR</v>
          </cell>
        </row>
        <row r="1224">
          <cell r="H1224">
            <v>19923.75</v>
          </cell>
        </row>
        <row r="1225">
          <cell r="C1225" t="str">
            <v>OV3600-AM100-FR</v>
          </cell>
        </row>
        <row r="1225">
          <cell r="H1225">
            <v>65084.25</v>
          </cell>
        </row>
        <row r="1226">
          <cell r="C1226" t="str">
            <v>OV3600-AM200-FR</v>
          </cell>
        </row>
        <row r="1226">
          <cell r="H1226">
            <v>108554.25</v>
          </cell>
        </row>
        <row r="1227">
          <cell r="C1227" t="str">
            <v>OV3600-AM50-FR</v>
          </cell>
        </row>
        <row r="1227">
          <cell r="H1227">
            <v>36104.25</v>
          </cell>
        </row>
        <row r="1228">
          <cell r="C1228" t="str">
            <v>OV3600-AM500-FR</v>
          </cell>
        </row>
        <row r="1228">
          <cell r="H1228">
            <v>193079.25</v>
          </cell>
        </row>
        <row r="1229">
          <cell r="C1229" t="str">
            <v>OV3600-AM50FRX</v>
          </cell>
        </row>
        <row r="1229">
          <cell r="H1229">
            <v>724.5</v>
          </cell>
        </row>
        <row r="1230">
          <cell r="C1230" t="str">
            <v>OV3600-AMENT-FR</v>
          </cell>
        </row>
        <row r="1230">
          <cell r="H1230">
            <v>603629.25</v>
          </cell>
        </row>
        <row r="1231">
          <cell r="C1231" t="str">
            <v>OV3600-AMENTFRX</v>
          </cell>
        </row>
        <row r="1231">
          <cell r="H1231">
            <v>241.5</v>
          </cell>
        </row>
        <row r="1232">
          <cell r="C1232" t="str">
            <v>OV3600-AMPRO-FR</v>
          </cell>
        </row>
        <row r="1232">
          <cell r="H1232">
            <v>241379.25</v>
          </cell>
        </row>
        <row r="1233">
          <cell r="C1233" t="str">
            <v>OV3600-MASTER</v>
          </cell>
        </row>
        <row r="1233">
          <cell r="H1233">
            <v>398354.25</v>
          </cell>
        </row>
        <row r="1234">
          <cell r="C1234" t="str">
            <v>OV3600-HW360ENT</v>
          </cell>
        </row>
        <row r="1234">
          <cell r="H1234">
            <v>1279829.25</v>
          </cell>
        </row>
        <row r="1235">
          <cell r="C1235" t="str">
            <v>OV3600-HW360PRO</v>
          </cell>
        </row>
        <row r="1235">
          <cell r="H1235">
            <v>917579.25</v>
          </cell>
        </row>
        <row r="1236">
          <cell r="C1236" t="str">
            <v>OV36CP-HW360PSU</v>
          </cell>
        </row>
        <row r="1236">
          <cell r="H1236">
            <v>25719.75</v>
          </cell>
        </row>
        <row r="1237">
          <cell r="C1237" t="str">
            <v>OV3600-DL360G10</v>
          </cell>
        </row>
        <row r="1237">
          <cell r="H1237">
            <v>1666350</v>
          </cell>
        </row>
        <row r="1238">
          <cell r="C1238" t="str">
            <v>DL360G10-PSU</v>
          </cell>
        </row>
        <row r="1238">
          <cell r="H1238">
            <v>24029.25</v>
          </cell>
        </row>
        <row r="1239">
          <cell r="C1239" t="str">
            <v>OV3600-GEN10PRO</v>
          </cell>
        </row>
        <row r="1239">
          <cell r="H1239">
            <v>963464.25</v>
          </cell>
        </row>
        <row r="1240">
          <cell r="C1240" t="str">
            <v>PW2N-OV36-100FR</v>
          </cell>
        </row>
        <row r="1240">
          <cell r="H1240">
            <v>12264</v>
          </cell>
        </row>
        <row r="1241">
          <cell r="C1241" t="str">
            <v>PW2N-OV36-200FR</v>
          </cell>
        </row>
        <row r="1241">
          <cell r="H1241">
            <v>20440</v>
          </cell>
        </row>
        <row r="1242">
          <cell r="C1242" t="str">
            <v>PW2N-OV36-25FR</v>
          </cell>
        </row>
        <row r="1242">
          <cell r="H1242">
            <v>3752</v>
          </cell>
        </row>
        <row r="1243">
          <cell r="C1243" t="str">
            <v>PW2N-OV36-500FR</v>
          </cell>
        </row>
        <row r="1243">
          <cell r="H1243">
            <v>36358</v>
          </cell>
        </row>
        <row r="1244">
          <cell r="C1244" t="str">
            <v>PW2N-OV36-50FRX</v>
          </cell>
        </row>
        <row r="1244">
          <cell r="H1244">
            <v>140</v>
          </cell>
        </row>
        <row r="1245">
          <cell r="C1245" t="str">
            <v>PW2N-OV36-50FR</v>
          </cell>
        </row>
        <row r="1245">
          <cell r="H1245">
            <v>6804</v>
          </cell>
        </row>
        <row r="1246">
          <cell r="C1246" t="str">
            <v>PW2N-OV36-ENTFR</v>
          </cell>
        </row>
        <row r="1246">
          <cell r="H1246">
            <v>113680</v>
          </cell>
        </row>
        <row r="1247">
          <cell r="C1247" t="str">
            <v>PW2N-OV36-ENTFX</v>
          </cell>
        </row>
        <row r="1247">
          <cell r="H1247">
            <v>42</v>
          </cell>
        </row>
        <row r="1248">
          <cell r="C1248" t="str">
            <v>PW2N-OV36-PROFR</v>
          </cell>
        </row>
        <row r="1248">
          <cell r="H1248">
            <v>45458</v>
          </cell>
        </row>
        <row r="1249">
          <cell r="C1249" t="str">
            <v>PW2N-OV3600-AM</v>
          </cell>
        </row>
        <row r="1249">
          <cell r="H1249">
            <v>336</v>
          </cell>
        </row>
        <row r="1250">
          <cell r="C1250" t="str">
            <v>PW3N-OV36-100FR</v>
          </cell>
        </row>
        <row r="1250">
          <cell r="H1250">
            <v>17794</v>
          </cell>
        </row>
        <row r="1251">
          <cell r="C1251" t="str">
            <v>PW3N-OV36-200FR</v>
          </cell>
        </row>
        <row r="1251">
          <cell r="H1251">
            <v>29680</v>
          </cell>
        </row>
        <row r="1252">
          <cell r="C1252" t="str">
            <v>PW3N-OV36-25FR</v>
          </cell>
        </row>
        <row r="1252">
          <cell r="H1252">
            <v>5446</v>
          </cell>
        </row>
        <row r="1253">
          <cell r="C1253" t="str">
            <v>PW3N-OV36-500FR</v>
          </cell>
        </row>
        <row r="1253">
          <cell r="H1253">
            <v>80080</v>
          </cell>
        </row>
        <row r="1254">
          <cell r="C1254" t="str">
            <v>PW3N-OV36-50FRX</v>
          </cell>
        </row>
        <row r="1254">
          <cell r="H1254">
            <v>196</v>
          </cell>
        </row>
        <row r="1255">
          <cell r="C1255" t="str">
            <v>PW3N-OV36-50FR</v>
          </cell>
        </row>
        <row r="1255">
          <cell r="H1255">
            <v>9870</v>
          </cell>
        </row>
        <row r="1256">
          <cell r="C1256" t="str">
            <v>PW3N-OV36-ENTFR</v>
          </cell>
        </row>
        <row r="1256">
          <cell r="H1256">
            <v>165074</v>
          </cell>
        </row>
        <row r="1257">
          <cell r="C1257" t="str">
            <v>PW3N-OV36-ENTFX</v>
          </cell>
        </row>
        <row r="1257">
          <cell r="H1257">
            <v>70</v>
          </cell>
        </row>
        <row r="1258">
          <cell r="C1258" t="str">
            <v>PW3N-OV36-PROFR</v>
          </cell>
        </row>
        <row r="1258">
          <cell r="H1258">
            <v>66010</v>
          </cell>
        </row>
        <row r="1259">
          <cell r="C1259" t="str">
            <v>PW3N-OV3600-AM</v>
          </cell>
        </row>
        <row r="1259">
          <cell r="H1259">
            <v>490</v>
          </cell>
        </row>
        <row r="1260">
          <cell r="C1260" t="str">
            <v>PW5N-OV36-100FR</v>
          </cell>
        </row>
        <row r="1260">
          <cell r="H1260">
            <v>27706</v>
          </cell>
        </row>
        <row r="1261">
          <cell r="C1261" t="str">
            <v>PW5N-OV36-200FR</v>
          </cell>
        </row>
        <row r="1261">
          <cell r="H1261">
            <v>46214</v>
          </cell>
        </row>
        <row r="1262">
          <cell r="C1262" t="str">
            <v>PW5N-OV36-25FR</v>
          </cell>
        </row>
        <row r="1262">
          <cell r="H1262">
            <v>8484</v>
          </cell>
        </row>
        <row r="1263">
          <cell r="C1263" t="str">
            <v>PW5N-OV36-500FR</v>
          </cell>
        </row>
        <row r="1263">
          <cell r="H1263">
            <v>82208</v>
          </cell>
        </row>
        <row r="1264">
          <cell r="C1264" t="str">
            <v>PW5N-OV36-50FRX</v>
          </cell>
        </row>
        <row r="1264">
          <cell r="H1264">
            <v>308</v>
          </cell>
        </row>
        <row r="1265">
          <cell r="C1265" t="str">
            <v>PW5N-OV36-50FR</v>
          </cell>
        </row>
        <row r="1265">
          <cell r="H1265">
            <v>15372</v>
          </cell>
        </row>
        <row r="1266">
          <cell r="C1266" t="str">
            <v>PW5N-OV36-ENTFR</v>
          </cell>
        </row>
        <row r="1266">
          <cell r="H1266">
            <v>256984</v>
          </cell>
        </row>
        <row r="1267">
          <cell r="C1267" t="str">
            <v>PW5N-OV36-ENTFX</v>
          </cell>
        </row>
        <row r="1267">
          <cell r="H1267">
            <v>98</v>
          </cell>
        </row>
        <row r="1268">
          <cell r="C1268" t="str">
            <v>PW5N-OV36-PROFR</v>
          </cell>
        </row>
        <row r="1268">
          <cell r="H1268">
            <v>102760</v>
          </cell>
        </row>
        <row r="1269">
          <cell r="C1269" t="str">
            <v>PW5N-OV3600-AM</v>
          </cell>
        </row>
        <row r="1269">
          <cell r="H1269">
            <v>770</v>
          </cell>
        </row>
        <row r="1270">
          <cell r="C1270" t="str">
            <v>PP1C-OS9900</v>
          </cell>
        </row>
        <row r="1271">
          <cell r="C1271" t="str">
            <v>PP1C-OS9503</v>
          </cell>
        </row>
        <row r="1272">
          <cell r="C1272" t="str">
            <v>PP1C-OS9506</v>
          </cell>
        </row>
        <row r="1273">
          <cell r="C1273" t="str">
            <v>PP1C-OS6900</v>
          </cell>
        </row>
        <row r="1274">
          <cell r="C1274" t="str">
            <v>PP1C-OS6865</v>
          </cell>
        </row>
        <row r="1275">
          <cell r="C1275" t="str">
            <v>PP1C-OS6860</v>
          </cell>
        </row>
        <row r="1276">
          <cell r="C1276" t="str">
            <v>PP1C-OS6560</v>
          </cell>
        </row>
        <row r="1277">
          <cell r="C1277" t="str">
            <v>PP1C-OS6465</v>
          </cell>
        </row>
        <row r="1278">
          <cell r="C1278" t="str">
            <v>PP1C-OS6450</v>
          </cell>
        </row>
        <row r="1279">
          <cell r="C1279" t="str">
            <v>PP1C-OS6360</v>
          </cell>
        </row>
        <row r="1280">
          <cell r="C1280" t="str">
            <v>PP1C-OS6350</v>
          </cell>
        </row>
        <row r="1281">
          <cell r="C1281" t="str">
            <v>PP1C-OS2X60</v>
          </cell>
        </row>
        <row r="1282">
          <cell r="C1282" t="str">
            <v>PP1C-OAWAP11XX</v>
          </cell>
        </row>
        <row r="1283">
          <cell r="C1283" t="str">
            <v>PP1C-OAWAP12XX</v>
          </cell>
        </row>
        <row r="1284">
          <cell r="C1284" t="str">
            <v>PP1C-OAWAP13XX</v>
          </cell>
        </row>
        <row r="1285">
          <cell r="C1285" t="str">
            <v>PP1C-OAW-6110</v>
          </cell>
        </row>
        <row r="1286">
          <cell r="C1286" t="str">
            <v>PP1C-ESR56000F5</v>
          </cell>
        </row>
        <row r="1287">
          <cell r="C1287" t="str">
            <v>PP1C-ESR56000F10</v>
          </cell>
        </row>
        <row r="1288">
          <cell r="C1288" t="str">
            <v>PP1C-ESR56000F20</v>
          </cell>
        </row>
        <row r="1289">
          <cell r="C1289" t="str">
            <v>PP1C-ESR56000F30</v>
          </cell>
        </row>
        <row r="1290">
          <cell r="C1290" t="str">
            <v>PP1C-ESR56000F40</v>
          </cell>
        </row>
        <row r="1291">
          <cell r="C1291" t="str">
            <v>PP1C-ESR56000F50</v>
          </cell>
        </row>
        <row r="1292">
          <cell r="C1292" t="str">
            <v>PWR-CORD-CN</v>
          </cell>
        </row>
        <row r="1292">
          <cell r="H1292">
            <v>225</v>
          </cell>
        </row>
        <row r="1293">
          <cell r="C1293" t="str">
            <v>IPWR-CORD-CN</v>
          </cell>
        </row>
        <row r="1293">
          <cell r="H1293">
            <v>300</v>
          </cell>
        </row>
        <row r="1294">
          <cell r="C1294" t="str">
            <v>OS-USB-FLASHDR</v>
          </cell>
        </row>
        <row r="1294">
          <cell r="H1294">
            <v>525</v>
          </cell>
        </row>
        <row r="1295">
          <cell r="C1295" t="str">
            <v>OS-WIREGUARD</v>
          </cell>
        </row>
        <row r="1295">
          <cell r="H1295">
            <v>1275</v>
          </cell>
        </row>
        <row r="1296">
          <cell r="C1296" t="str">
            <v>OS6-REAR-MNT</v>
          </cell>
        </row>
        <row r="1296">
          <cell r="H1296">
            <v>975</v>
          </cell>
        </row>
        <row r="1297">
          <cell r="C1297" t="str">
            <v>SFP-DUSTCVR-100</v>
          </cell>
        </row>
        <row r="1297">
          <cell r="H1297">
            <v>1425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2923" displayName="Table12923" ref="A1:J23" totalsRowShown="0">
  <autoFilter xmlns:etc="http://www.wps.cn/officeDocument/2017/etCustomData" ref="A1:J23" etc:filterBottomFollowUsedRange="0"/>
  <tableColumns count="10">
    <tableColumn id="1" name="产品组件" dataDxfId="2"/>
    <tableColumn id="2" name="类别" dataDxfId="3"/>
    <tableColumn id="3" name="子类别" dataDxfId="4"/>
    <tableColumn id="4" name="型号" dataDxfId="5"/>
    <tableColumn id="5" name="描述" dataDxfId="6"/>
    <tableColumn id="6" name="销售类别" dataDxfId="7"/>
    <tableColumn id="7" name="服务类别" dataDxfId="8"/>
    <tableColumn id="8" name="媒体价" dataDxfId="9"/>
    <tableColumn id="11" name="服务状态" dataDxfId="10"/>
    <tableColumn id="12" name="状态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B55"/>
  <sheetViews>
    <sheetView workbookViewId="0">
      <selection activeCell="B2" sqref="B2:B21"/>
    </sheetView>
  </sheetViews>
  <sheetFormatPr defaultColWidth="9" defaultRowHeight="12.75" outlineLevelCol="1"/>
  <cols>
    <col min="1" max="1" width="10.1681415929204" style="393" customWidth="1"/>
    <col min="2" max="2" width="166.16814159292" style="393" customWidth="1"/>
    <col min="3" max="3" width="9" style="393" customWidth="1"/>
    <col min="4" max="16384" width="9" style="393"/>
  </cols>
  <sheetData>
    <row r="2" ht="16" customHeight="1" spans="2:2">
      <c r="B2" s="394" t="s">
        <v>0</v>
      </c>
    </row>
    <row r="3" ht="16" customHeight="1" spans="2:2">
      <c r="B3" s="394"/>
    </row>
    <row r="4" ht="17" customHeight="1" spans="2:2">
      <c r="B4" s="395" t="s">
        <v>1</v>
      </c>
    </row>
    <row r="5" ht="16" customHeight="1" spans="2:2">
      <c r="B5" s="396" t="s">
        <v>2</v>
      </c>
    </row>
    <row r="6" ht="16" customHeight="1" spans="2:2">
      <c r="B6" s="396" t="s">
        <v>3</v>
      </c>
    </row>
    <row r="7" ht="16" customHeight="1" spans="2:2">
      <c r="B7" s="396" t="s">
        <v>4</v>
      </c>
    </row>
    <row r="8" ht="16" customHeight="1" spans="2:2">
      <c r="B8" s="396" t="s">
        <v>5</v>
      </c>
    </row>
    <row r="9" ht="16" customHeight="1" spans="2:2">
      <c r="B9" s="396" t="s">
        <v>6</v>
      </c>
    </row>
    <row r="10" ht="16" customHeight="1" spans="2:2">
      <c r="B10" s="396" t="s">
        <v>7</v>
      </c>
    </row>
    <row r="11" ht="17" customHeight="1" spans="2:2">
      <c r="B11" s="397" t="s">
        <v>8</v>
      </c>
    </row>
    <row r="12" ht="16" customHeight="1" spans="2:2">
      <c r="B12" s="398" t="s">
        <v>9</v>
      </c>
    </row>
    <row r="13" ht="16" customHeight="1" spans="2:2">
      <c r="B13" s="396"/>
    </row>
    <row r="14" ht="17" customHeight="1" spans="2:2">
      <c r="B14" s="397" t="s">
        <v>10</v>
      </c>
    </row>
    <row r="15" ht="16" customHeight="1" spans="2:2">
      <c r="B15" s="396" t="s">
        <v>11</v>
      </c>
    </row>
    <row r="16" ht="16" customHeight="1" spans="2:2">
      <c r="B16" s="396" t="s">
        <v>12</v>
      </c>
    </row>
    <row r="17" ht="16" customHeight="1" spans="2:2">
      <c r="B17" s="396" t="s">
        <v>13</v>
      </c>
    </row>
    <row r="18" ht="16" customHeight="1" spans="2:2">
      <c r="B18" s="396" t="s">
        <v>14</v>
      </c>
    </row>
    <row r="19" ht="16" customHeight="1" spans="2:2">
      <c r="B19" s="396" t="s">
        <v>15</v>
      </c>
    </row>
    <row r="20" ht="15.5" customHeight="1" spans="2:2">
      <c r="B20" s="399"/>
    </row>
    <row r="21" ht="15.5" customHeight="1" spans="2:2">
      <c r="B21" s="400" t="s">
        <v>16</v>
      </c>
    </row>
    <row r="22" ht="16" customHeight="1" spans="2:2">
      <c r="B22" s="401"/>
    </row>
    <row r="23" ht="21" customHeight="1" spans="2:2">
      <c r="B23" s="402" t="s">
        <v>17</v>
      </c>
    </row>
    <row r="24" ht="17" customHeight="1" spans="2:2">
      <c r="B24" s="403" t="s">
        <v>18</v>
      </c>
    </row>
    <row r="25" ht="16" customHeight="1" spans="2:2">
      <c r="B25" s="398" t="s">
        <v>19</v>
      </c>
    </row>
    <row r="26" ht="16" customHeight="1" spans="2:2">
      <c r="B26" s="398" t="s">
        <v>20</v>
      </c>
    </row>
    <row r="27" ht="16" customHeight="1" spans="2:2">
      <c r="B27" s="398" t="s">
        <v>21</v>
      </c>
    </row>
    <row r="28" ht="16" customHeight="1" spans="2:2">
      <c r="B28" s="398" t="s">
        <v>22</v>
      </c>
    </row>
    <row r="29" ht="14.75" customHeight="1" spans="2:2">
      <c r="B29" s="398" t="s">
        <v>23</v>
      </c>
    </row>
    <row r="30" ht="16" customHeight="1" spans="2:2">
      <c r="B30" s="398" t="s">
        <v>24</v>
      </c>
    </row>
    <row r="31" ht="16" customHeight="1" spans="2:2">
      <c r="B31" s="398" t="s">
        <v>25</v>
      </c>
    </row>
    <row r="32" ht="16" customHeight="1" spans="2:2">
      <c r="B32" s="398" t="s">
        <v>26</v>
      </c>
    </row>
    <row r="33" ht="16" customHeight="1" spans="2:2">
      <c r="B33" s="398" t="s">
        <v>27</v>
      </c>
    </row>
    <row r="34" ht="16" customHeight="1" spans="2:2">
      <c r="B34" s="398" t="s">
        <v>28</v>
      </c>
    </row>
    <row r="35" ht="16" customHeight="1" spans="2:2">
      <c r="B35" s="398" t="s">
        <v>29</v>
      </c>
    </row>
    <row r="36" ht="16" customHeight="1" spans="2:2">
      <c r="B36" s="398" t="s">
        <v>30</v>
      </c>
    </row>
    <row r="37" ht="16" customHeight="1" spans="2:2">
      <c r="B37" s="398" t="s">
        <v>31</v>
      </c>
    </row>
    <row r="38" ht="16" customHeight="1" spans="2:2">
      <c r="B38" s="398" t="s">
        <v>32</v>
      </c>
    </row>
    <row r="39" ht="16" customHeight="1" spans="2:2">
      <c r="B39" s="398" t="s">
        <v>33</v>
      </c>
    </row>
    <row r="40" ht="16" customHeight="1" spans="2:2">
      <c r="B40" s="398" t="s">
        <v>34</v>
      </c>
    </row>
    <row r="41" ht="16" customHeight="1" spans="2:2">
      <c r="B41" s="398" t="s">
        <v>35</v>
      </c>
    </row>
    <row r="42" ht="16" customHeight="1" spans="2:2">
      <c r="B42" s="398" t="s">
        <v>36</v>
      </c>
    </row>
    <row r="43" ht="16" customHeight="1" spans="2:2">
      <c r="B43" s="398" t="s">
        <v>37</v>
      </c>
    </row>
    <row r="44" ht="16" customHeight="1" spans="2:2">
      <c r="B44" s="398" t="s">
        <v>38</v>
      </c>
    </row>
    <row r="45" ht="16" customHeight="1" spans="2:2">
      <c r="B45" s="398" t="s">
        <v>39</v>
      </c>
    </row>
    <row r="46" ht="16" customHeight="1" spans="2:2">
      <c r="B46" s="398" t="s">
        <v>40</v>
      </c>
    </row>
    <row r="47" ht="16" customHeight="1" spans="2:2">
      <c r="B47" s="398" t="s">
        <v>41</v>
      </c>
    </row>
    <row r="48" ht="16" customHeight="1" spans="2:2">
      <c r="B48" s="398" t="s">
        <v>42</v>
      </c>
    </row>
    <row r="49" ht="16" customHeight="1" spans="2:2">
      <c r="B49" s="398" t="s">
        <v>43</v>
      </c>
    </row>
    <row r="50" ht="16" customHeight="1" spans="2:2">
      <c r="B50" s="398" t="s">
        <v>44</v>
      </c>
    </row>
    <row r="51" ht="16" customHeight="1" spans="2:2">
      <c r="B51" s="398" t="s">
        <v>45</v>
      </c>
    </row>
    <row r="52" ht="16" customHeight="1" spans="2:2">
      <c r="B52" s="398" t="s">
        <v>46</v>
      </c>
    </row>
    <row r="53" ht="16" customHeight="1" spans="2:2">
      <c r="B53" s="398" t="s">
        <v>47</v>
      </c>
    </row>
    <row r="54" ht="16" customHeight="1" spans="2:2">
      <c r="B54" s="398" t="s">
        <v>48</v>
      </c>
    </row>
    <row r="55" ht="16" customHeight="1" spans="2:2">
      <c r="B55" s="398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81"/>
  <sheetViews>
    <sheetView workbookViewId="0">
      <pane ySplit="1" topLeftCell="A8" activePane="bottomLeft" state="frozen"/>
      <selection/>
      <selection pane="bottomLeft" activeCell="N11" sqref="N11"/>
    </sheetView>
  </sheetViews>
  <sheetFormatPr defaultColWidth="9.16814159292035" defaultRowHeight="13.85"/>
  <cols>
    <col min="1" max="1" width="22.1681415929204" style="107" customWidth="1"/>
    <col min="2" max="2" width="17" style="106" customWidth="1"/>
    <col min="3" max="3" width="20" style="106" customWidth="1"/>
    <col min="4" max="4" width="75.1681415929203" style="107" customWidth="1"/>
    <col min="5" max="6" width="10.1681415929204" style="106" customWidth="1"/>
    <col min="7" max="7" width="9.66371681415929" style="106" customWidth="1"/>
    <col min="8" max="8" width="18.1681415929204" style="106" customWidth="1"/>
    <col min="9" max="10" width="12.1681415929204" style="106" customWidth="1"/>
    <col min="11" max="11" width="17.1681415929204" style="108" customWidth="1"/>
    <col min="12" max="12" width="14" style="108" customWidth="1"/>
    <col min="13" max="249" width="9.16814159292035" style="108" customWidth="1"/>
    <col min="250" max="250" width="25.1681415929204" style="108" customWidth="1"/>
    <col min="251" max="251" width="18.6637168141593" style="108" customWidth="1"/>
    <col min="252" max="252" width="55.1681415929204" style="108" customWidth="1"/>
    <col min="253" max="254" width="8.16814159292035" style="108" customWidth="1"/>
    <col min="255" max="255" width="10.1681415929204" style="108" customWidth="1"/>
    <col min="256" max="256" width="11.6637168141593" style="108" customWidth="1"/>
    <col min="257" max="257" width="12" style="108" customWidth="1"/>
    <col min="258" max="258" width="16.6637168141593" style="108" customWidth="1"/>
    <col min="259" max="259" width="8" style="108" customWidth="1"/>
    <col min="260" max="505" width="9.16814159292035" style="108" customWidth="1"/>
    <col min="506" max="506" width="25.1681415929204" style="108" customWidth="1"/>
    <col min="507" max="507" width="18.6637168141593" style="108" customWidth="1"/>
    <col min="508" max="508" width="55.1681415929204" style="108" customWidth="1"/>
    <col min="509" max="510" width="8.16814159292035" style="108" customWidth="1"/>
    <col min="511" max="511" width="10.1681415929204" style="108" customWidth="1"/>
    <col min="512" max="512" width="11.6637168141593" style="108" customWidth="1"/>
    <col min="513" max="513" width="12" style="108" customWidth="1"/>
    <col min="514" max="514" width="16.6637168141593" style="108" customWidth="1"/>
    <col min="515" max="515" width="8" style="108" customWidth="1"/>
    <col min="516" max="761" width="9.16814159292035" style="108" customWidth="1"/>
    <col min="762" max="762" width="25.1681415929204" style="108" customWidth="1"/>
    <col min="763" max="763" width="18.6637168141593" style="108" customWidth="1"/>
    <col min="764" max="764" width="55.1681415929204" style="108" customWidth="1"/>
    <col min="765" max="766" width="8.16814159292035" style="108" customWidth="1"/>
    <col min="767" max="767" width="10.1681415929204" style="108" customWidth="1"/>
    <col min="768" max="768" width="11.6637168141593" style="108" customWidth="1"/>
    <col min="769" max="769" width="12" style="108" customWidth="1"/>
    <col min="770" max="770" width="16.6637168141593" style="108" customWidth="1"/>
    <col min="771" max="771" width="8" style="108" customWidth="1"/>
    <col min="772" max="1017" width="9.16814159292035" style="108" customWidth="1"/>
    <col min="1018" max="1018" width="25.1681415929204" style="108" customWidth="1"/>
    <col min="1019" max="1019" width="18.6637168141593" style="108" customWidth="1"/>
    <col min="1020" max="1020" width="55.1681415929204" style="108" customWidth="1"/>
    <col min="1021" max="1022" width="8.16814159292035" style="108" customWidth="1"/>
    <col min="1023" max="1023" width="10.1681415929204" style="108" customWidth="1"/>
    <col min="1024" max="1024" width="11.6637168141593" style="108" customWidth="1"/>
    <col min="1025" max="1025" width="12" style="108" customWidth="1"/>
    <col min="1026" max="1026" width="16.6637168141593" style="108" customWidth="1"/>
    <col min="1027" max="1027" width="8" style="108" customWidth="1"/>
    <col min="1028" max="1273" width="9.16814159292035" style="108" customWidth="1"/>
    <col min="1274" max="1274" width="25.1681415929204" style="108" customWidth="1"/>
    <col min="1275" max="1275" width="18.6637168141593" style="108" customWidth="1"/>
    <col min="1276" max="1276" width="55.1681415929204" style="108" customWidth="1"/>
    <col min="1277" max="1278" width="8.16814159292035" style="108" customWidth="1"/>
    <col min="1279" max="1279" width="10.1681415929204" style="108" customWidth="1"/>
    <col min="1280" max="1280" width="11.6637168141593" style="108" customWidth="1"/>
    <col min="1281" max="1281" width="12" style="108" customWidth="1"/>
    <col min="1282" max="1282" width="16.6637168141593" style="108" customWidth="1"/>
    <col min="1283" max="1283" width="8" style="108" customWidth="1"/>
    <col min="1284" max="1529" width="9.16814159292035" style="108" customWidth="1"/>
    <col min="1530" max="1530" width="25.1681415929204" style="108" customWidth="1"/>
    <col min="1531" max="1531" width="18.6637168141593" style="108" customWidth="1"/>
    <col min="1532" max="1532" width="55.1681415929204" style="108" customWidth="1"/>
    <col min="1533" max="1534" width="8.16814159292035" style="108" customWidth="1"/>
    <col min="1535" max="1535" width="10.1681415929204" style="108" customWidth="1"/>
    <col min="1536" max="1536" width="11.6637168141593" style="108" customWidth="1"/>
    <col min="1537" max="1537" width="12" style="108" customWidth="1"/>
    <col min="1538" max="1538" width="16.6637168141593" style="108" customWidth="1"/>
    <col min="1539" max="1539" width="8" style="108" customWidth="1"/>
    <col min="1540" max="1785" width="9.16814159292035" style="108" customWidth="1"/>
    <col min="1786" max="1786" width="25.1681415929204" style="108" customWidth="1"/>
    <col min="1787" max="1787" width="18.6637168141593" style="108" customWidth="1"/>
    <col min="1788" max="1788" width="55.1681415929204" style="108" customWidth="1"/>
    <col min="1789" max="1790" width="8.16814159292035" style="108" customWidth="1"/>
    <col min="1791" max="1791" width="10.1681415929204" style="108" customWidth="1"/>
    <col min="1792" max="1792" width="11.6637168141593" style="108" customWidth="1"/>
    <col min="1793" max="1793" width="12" style="108" customWidth="1"/>
    <col min="1794" max="1794" width="16.6637168141593" style="108" customWidth="1"/>
    <col min="1795" max="1795" width="8" style="108" customWidth="1"/>
    <col min="1796" max="2041" width="9.16814159292035" style="108" customWidth="1"/>
    <col min="2042" max="2042" width="25.1681415929204" style="108" customWidth="1"/>
    <col min="2043" max="2043" width="18.6637168141593" style="108" customWidth="1"/>
    <col min="2044" max="2044" width="55.1681415929204" style="108" customWidth="1"/>
    <col min="2045" max="2046" width="8.16814159292035" style="108" customWidth="1"/>
    <col min="2047" max="2047" width="10.1681415929204" style="108" customWidth="1"/>
    <col min="2048" max="2048" width="11.6637168141593" style="108" customWidth="1"/>
    <col min="2049" max="2049" width="12" style="108" customWidth="1"/>
    <col min="2050" max="2050" width="16.6637168141593" style="108" customWidth="1"/>
    <col min="2051" max="2051" width="8" style="108" customWidth="1"/>
    <col min="2052" max="2297" width="9.16814159292035" style="108" customWidth="1"/>
    <col min="2298" max="2298" width="25.1681415929204" style="108" customWidth="1"/>
    <col min="2299" max="2299" width="18.6637168141593" style="108" customWidth="1"/>
    <col min="2300" max="2300" width="55.1681415929204" style="108" customWidth="1"/>
    <col min="2301" max="2302" width="8.16814159292035" style="108" customWidth="1"/>
    <col min="2303" max="2303" width="10.1681415929204" style="108" customWidth="1"/>
    <col min="2304" max="2304" width="11.6637168141593" style="108" customWidth="1"/>
    <col min="2305" max="2305" width="12" style="108" customWidth="1"/>
    <col min="2306" max="2306" width="16.6637168141593" style="108" customWidth="1"/>
    <col min="2307" max="2307" width="8" style="108" customWidth="1"/>
    <col min="2308" max="2553" width="9.16814159292035" style="108" customWidth="1"/>
    <col min="2554" max="2554" width="25.1681415929204" style="108" customWidth="1"/>
    <col min="2555" max="2555" width="18.6637168141593" style="108" customWidth="1"/>
    <col min="2556" max="2556" width="55.1681415929204" style="108" customWidth="1"/>
    <col min="2557" max="2558" width="8.16814159292035" style="108" customWidth="1"/>
    <col min="2559" max="2559" width="10.1681415929204" style="108" customWidth="1"/>
    <col min="2560" max="2560" width="11.6637168141593" style="108" customWidth="1"/>
    <col min="2561" max="2561" width="12" style="108" customWidth="1"/>
    <col min="2562" max="2562" width="16.6637168141593" style="108" customWidth="1"/>
    <col min="2563" max="2563" width="8" style="108" customWidth="1"/>
    <col min="2564" max="2809" width="9.16814159292035" style="108" customWidth="1"/>
    <col min="2810" max="2810" width="25.1681415929204" style="108" customWidth="1"/>
    <col min="2811" max="2811" width="18.6637168141593" style="108" customWidth="1"/>
    <col min="2812" max="2812" width="55.1681415929204" style="108" customWidth="1"/>
    <col min="2813" max="2814" width="8.16814159292035" style="108" customWidth="1"/>
    <col min="2815" max="2815" width="10.1681415929204" style="108" customWidth="1"/>
    <col min="2816" max="2816" width="11.6637168141593" style="108" customWidth="1"/>
    <col min="2817" max="2817" width="12" style="108" customWidth="1"/>
    <col min="2818" max="2818" width="16.6637168141593" style="108" customWidth="1"/>
    <col min="2819" max="2819" width="8" style="108" customWidth="1"/>
    <col min="2820" max="3065" width="9.16814159292035" style="108" customWidth="1"/>
    <col min="3066" max="3066" width="25.1681415929204" style="108" customWidth="1"/>
    <col min="3067" max="3067" width="18.6637168141593" style="108" customWidth="1"/>
    <col min="3068" max="3068" width="55.1681415929204" style="108" customWidth="1"/>
    <col min="3069" max="3070" width="8.16814159292035" style="108" customWidth="1"/>
    <col min="3071" max="3071" width="10.1681415929204" style="108" customWidth="1"/>
    <col min="3072" max="3072" width="11.6637168141593" style="108" customWidth="1"/>
    <col min="3073" max="3073" width="12" style="108" customWidth="1"/>
    <col min="3074" max="3074" width="16.6637168141593" style="108" customWidth="1"/>
    <col min="3075" max="3075" width="8" style="108" customWidth="1"/>
    <col min="3076" max="3321" width="9.16814159292035" style="108" customWidth="1"/>
    <col min="3322" max="3322" width="25.1681415929204" style="108" customWidth="1"/>
    <col min="3323" max="3323" width="18.6637168141593" style="108" customWidth="1"/>
    <col min="3324" max="3324" width="55.1681415929204" style="108" customWidth="1"/>
    <col min="3325" max="3326" width="8.16814159292035" style="108" customWidth="1"/>
    <col min="3327" max="3327" width="10.1681415929204" style="108" customWidth="1"/>
    <col min="3328" max="3328" width="11.6637168141593" style="108" customWidth="1"/>
    <col min="3329" max="3329" width="12" style="108" customWidth="1"/>
    <col min="3330" max="3330" width="16.6637168141593" style="108" customWidth="1"/>
    <col min="3331" max="3331" width="8" style="108" customWidth="1"/>
    <col min="3332" max="3577" width="9.16814159292035" style="108" customWidth="1"/>
    <col min="3578" max="3578" width="25.1681415929204" style="108" customWidth="1"/>
    <col min="3579" max="3579" width="18.6637168141593" style="108" customWidth="1"/>
    <col min="3580" max="3580" width="55.1681415929204" style="108" customWidth="1"/>
    <col min="3581" max="3582" width="8.16814159292035" style="108" customWidth="1"/>
    <col min="3583" max="3583" width="10.1681415929204" style="108" customWidth="1"/>
    <col min="3584" max="3584" width="11.6637168141593" style="108" customWidth="1"/>
    <col min="3585" max="3585" width="12" style="108" customWidth="1"/>
    <col min="3586" max="3586" width="16.6637168141593" style="108" customWidth="1"/>
    <col min="3587" max="3587" width="8" style="108" customWidth="1"/>
    <col min="3588" max="3833" width="9.16814159292035" style="108" customWidth="1"/>
    <col min="3834" max="3834" width="25.1681415929204" style="108" customWidth="1"/>
    <col min="3835" max="3835" width="18.6637168141593" style="108" customWidth="1"/>
    <col min="3836" max="3836" width="55.1681415929204" style="108" customWidth="1"/>
    <col min="3837" max="3838" width="8.16814159292035" style="108" customWidth="1"/>
    <col min="3839" max="3839" width="10.1681415929204" style="108" customWidth="1"/>
    <col min="3840" max="3840" width="11.6637168141593" style="108" customWidth="1"/>
    <col min="3841" max="3841" width="12" style="108" customWidth="1"/>
    <col min="3842" max="3842" width="16.6637168141593" style="108" customWidth="1"/>
    <col min="3843" max="3843" width="8" style="108" customWidth="1"/>
    <col min="3844" max="4089" width="9.16814159292035" style="108" customWidth="1"/>
    <col min="4090" max="4090" width="25.1681415929204" style="108" customWidth="1"/>
    <col min="4091" max="4091" width="18.6637168141593" style="108" customWidth="1"/>
    <col min="4092" max="4092" width="55.1681415929204" style="108" customWidth="1"/>
    <col min="4093" max="4094" width="8.16814159292035" style="108" customWidth="1"/>
    <col min="4095" max="4095" width="10.1681415929204" style="108" customWidth="1"/>
    <col min="4096" max="4096" width="11.6637168141593" style="108" customWidth="1"/>
    <col min="4097" max="4097" width="12" style="108" customWidth="1"/>
    <col min="4098" max="4098" width="16.6637168141593" style="108" customWidth="1"/>
    <col min="4099" max="4099" width="8" style="108" customWidth="1"/>
    <col min="4100" max="4345" width="9.16814159292035" style="108" customWidth="1"/>
    <col min="4346" max="4346" width="25.1681415929204" style="108" customWidth="1"/>
    <col min="4347" max="4347" width="18.6637168141593" style="108" customWidth="1"/>
    <col min="4348" max="4348" width="55.1681415929204" style="108" customWidth="1"/>
    <col min="4349" max="4350" width="8.16814159292035" style="108" customWidth="1"/>
    <col min="4351" max="4351" width="10.1681415929204" style="108" customWidth="1"/>
    <col min="4352" max="4352" width="11.6637168141593" style="108" customWidth="1"/>
    <col min="4353" max="4353" width="12" style="108" customWidth="1"/>
    <col min="4354" max="4354" width="16.6637168141593" style="108" customWidth="1"/>
    <col min="4355" max="4355" width="8" style="108" customWidth="1"/>
    <col min="4356" max="4601" width="9.16814159292035" style="108" customWidth="1"/>
    <col min="4602" max="4602" width="25.1681415929204" style="108" customWidth="1"/>
    <col min="4603" max="4603" width="18.6637168141593" style="108" customWidth="1"/>
    <col min="4604" max="4604" width="55.1681415929204" style="108" customWidth="1"/>
    <col min="4605" max="4606" width="8.16814159292035" style="108" customWidth="1"/>
    <col min="4607" max="4607" width="10.1681415929204" style="108" customWidth="1"/>
    <col min="4608" max="4608" width="11.6637168141593" style="108" customWidth="1"/>
    <col min="4609" max="4609" width="12" style="108" customWidth="1"/>
    <col min="4610" max="4610" width="16.6637168141593" style="108" customWidth="1"/>
    <col min="4611" max="4611" width="8" style="108" customWidth="1"/>
    <col min="4612" max="4857" width="9.16814159292035" style="108" customWidth="1"/>
    <col min="4858" max="4858" width="25.1681415929204" style="108" customWidth="1"/>
    <col min="4859" max="4859" width="18.6637168141593" style="108" customWidth="1"/>
    <col min="4860" max="4860" width="55.1681415929204" style="108" customWidth="1"/>
    <col min="4861" max="4862" width="8.16814159292035" style="108" customWidth="1"/>
    <col min="4863" max="4863" width="10.1681415929204" style="108" customWidth="1"/>
    <col min="4864" max="4864" width="11.6637168141593" style="108" customWidth="1"/>
    <col min="4865" max="4865" width="12" style="108" customWidth="1"/>
    <col min="4866" max="4866" width="16.6637168141593" style="108" customWidth="1"/>
    <col min="4867" max="4867" width="8" style="108" customWidth="1"/>
    <col min="4868" max="5113" width="9.16814159292035" style="108" customWidth="1"/>
    <col min="5114" max="5114" width="25.1681415929204" style="108" customWidth="1"/>
    <col min="5115" max="5115" width="18.6637168141593" style="108" customWidth="1"/>
    <col min="5116" max="5116" width="55.1681415929204" style="108" customWidth="1"/>
    <col min="5117" max="5118" width="8.16814159292035" style="108" customWidth="1"/>
    <col min="5119" max="5119" width="10.1681415929204" style="108" customWidth="1"/>
    <col min="5120" max="5120" width="11.6637168141593" style="108" customWidth="1"/>
    <col min="5121" max="5121" width="12" style="108" customWidth="1"/>
    <col min="5122" max="5122" width="16.6637168141593" style="108" customWidth="1"/>
    <col min="5123" max="5123" width="8" style="108" customWidth="1"/>
    <col min="5124" max="5369" width="9.16814159292035" style="108" customWidth="1"/>
    <col min="5370" max="5370" width="25.1681415929204" style="108" customWidth="1"/>
    <col min="5371" max="5371" width="18.6637168141593" style="108" customWidth="1"/>
    <col min="5372" max="5372" width="55.1681415929204" style="108" customWidth="1"/>
    <col min="5373" max="5374" width="8.16814159292035" style="108" customWidth="1"/>
    <col min="5375" max="5375" width="10.1681415929204" style="108" customWidth="1"/>
    <col min="5376" max="5376" width="11.6637168141593" style="108" customWidth="1"/>
    <col min="5377" max="5377" width="12" style="108" customWidth="1"/>
    <col min="5378" max="5378" width="16.6637168141593" style="108" customWidth="1"/>
    <col min="5379" max="5379" width="8" style="108" customWidth="1"/>
    <col min="5380" max="5625" width="9.16814159292035" style="108" customWidth="1"/>
    <col min="5626" max="5626" width="25.1681415929204" style="108" customWidth="1"/>
    <col min="5627" max="5627" width="18.6637168141593" style="108" customWidth="1"/>
    <col min="5628" max="5628" width="55.1681415929204" style="108" customWidth="1"/>
    <col min="5629" max="5630" width="8.16814159292035" style="108" customWidth="1"/>
    <col min="5631" max="5631" width="10.1681415929204" style="108" customWidth="1"/>
    <col min="5632" max="5632" width="11.6637168141593" style="108" customWidth="1"/>
    <col min="5633" max="5633" width="12" style="108" customWidth="1"/>
    <col min="5634" max="5634" width="16.6637168141593" style="108" customWidth="1"/>
    <col min="5635" max="5635" width="8" style="108" customWidth="1"/>
    <col min="5636" max="5881" width="9.16814159292035" style="108" customWidth="1"/>
    <col min="5882" max="5882" width="25.1681415929204" style="108" customWidth="1"/>
    <col min="5883" max="5883" width="18.6637168141593" style="108" customWidth="1"/>
    <col min="5884" max="5884" width="55.1681415929204" style="108" customWidth="1"/>
    <col min="5885" max="5886" width="8.16814159292035" style="108" customWidth="1"/>
    <col min="5887" max="5887" width="10.1681415929204" style="108" customWidth="1"/>
    <col min="5888" max="5888" width="11.6637168141593" style="108" customWidth="1"/>
    <col min="5889" max="5889" width="12" style="108" customWidth="1"/>
    <col min="5890" max="5890" width="16.6637168141593" style="108" customWidth="1"/>
    <col min="5891" max="5891" width="8" style="108" customWidth="1"/>
    <col min="5892" max="6137" width="9.16814159292035" style="108" customWidth="1"/>
    <col min="6138" max="6138" width="25.1681415929204" style="108" customWidth="1"/>
    <col min="6139" max="6139" width="18.6637168141593" style="108" customWidth="1"/>
    <col min="6140" max="6140" width="55.1681415929204" style="108" customWidth="1"/>
    <col min="6141" max="6142" width="8.16814159292035" style="108" customWidth="1"/>
    <col min="6143" max="6143" width="10.1681415929204" style="108" customWidth="1"/>
    <col min="6144" max="6144" width="11.6637168141593" style="108" customWidth="1"/>
    <col min="6145" max="6145" width="12" style="108" customWidth="1"/>
    <col min="6146" max="6146" width="16.6637168141593" style="108" customWidth="1"/>
    <col min="6147" max="6147" width="8" style="108" customWidth="1"/>
    <col min="6148" max="6393" width="9.16814159292035" style="108" customWidth="1"/>
    <col min="6394" max="6394" width="25.1681415929204" style="108" customWidth="1"/>
    <col min="6395" max="6395" width="18.6637168141593" style="108" customWidth="1"/>
    <col min="6396" max="6396" width="55.1681415929204" style="108" customWidth="1"/>
    <col min="6397" max="6398" width="8.16814159292035" style="108" customWidth="1"/>
    <col min="6399" max="6399" width="10.1681415929204" style="108" customWidth="1"/>
    <col min="6400" max="6400" width="11.6637168141593" style="108" customWidth="1"/>
    <col min="6401" max="6401" width="12" style="108" customWidth="1"/>
    <col min="6402" max="6402" width="16.6637168141593" style="108" customWidth="1"/>
    <col min="6403" max="6403" width="8" style="108" customWidth="1"/>
    <col min="6404" max="6649" width="9.16814159292035" style="108" customWidth="1"/>
    <col min="6650" max="6650" width="25.1681415929204" style="108" customWidth="1"/>
    <col min="6651" max="6651" width="18.6637168141593" style="108" customWidth="1"/>
    <col min="6652" max="6652" width="55.1681415929204" style="108" customWidth="1"/>
    <col min="6653" max="6654" width="8.16814159292035" style="108" customWidth="1"/>
    <col min="6655" max="6655" width="10.1681415929204" style="108" customWidth="1"/>
    <col min="6656" max="6656" width="11.6637168141593" style="108" customWidth="1"/>
    <col min="6657" max="6657" width="12" style="108" customWidth="1"/>
    <col min="6658" max="6658" width="16.6637168141593" style="108" customWidth="1"/>
    <col min="6659" max="6659" width="8" style="108" customWidth="1"/>
    <col min="6660" max="6905" width="9.16814159292035" style="108" customWidth="1"/>
    <col min="6906" max="6906" width="25.1681415929204" style="108" customWidth="1"/>
    <col min="6907" max="6907" width="18.6637168141593" style="108" customWidth="1"/>
    <col min="6908" max="6908" width="55.1681415929204" style="108" customWidth="1"/>
    <col min="6909" max="6910" width="8.16814159292035" style="108" customWidth="1"/>
    <col min="6911" max="6911" width="10.1681415929204" style="108" customWidth="1"/>
    <col min="6912" max="6912" width="11.6637168141593" style="108" customWidth="1"/>
    <col min="6913" max="6913" width="12" style="108" customWidth="1"/>
    <col min="6914" max="6914" width="16.6637168141593" style="108" customWidth="1"/>
    <col min="6915" max="6915" width="8" style="108" customWidth="1"/>
    <col min="6916" max="7161" width="9.16814159292035" style="108" customWidth="1"/>
    <col min="7162" max="7162" width="25.1681415929204" style="108" customWidth="1"/>
    <col min="7163" max="7163" width="18.6637168141593" style="108" customWidth="1"/>
    <col min="7164" max="7164" width="55.1681415929204" style="108" customWidth="1"/>
    <col min="7165" max="7166" width="8.16814159292035" style="108" customWidth="1"/>
    <col min="7167" max="7167" width="10.1681415929204" style="108" customWidth="1"/>
    <col min="7168" max="7168" width="11.6637168141593" style="108" customWidth="1"/>
    <col min="7169" max="7169" width="12" style="108" customWidth="1"/>
    <col min="7170" max="7170" width="16.6637168141593" style="108" customWidth="1"/>
    <col min="7171" max="7171" width="8" style="108" customWidth="1"/>
    <col min="7172" max="7417" width="9.16814159292035" style="108" customWidth="1"/>
    <col min="7418" max="7418" width="25.1681415929204" style="108" customWidth="1"/>
    <col min="7419" max="7419" width="18.6637168141593" style="108" customWidth="1"/>
    <col min="7420" max="7420" width="55.1681415929204" style="108" customWidth="1"/>
    <col min="7421" max="7422" width="8.16814159292035" style="108" customWidth="1"/>
    <col min="7423" max="7423" width="10.1681415929204" style="108" customWidth="1"/>
    <col min="7424" max="7424" width="11.6637168141593" style="108" customWidth="1"/>
    <col min="7425" max="7425" width="12" style="108" customWidth="1"/>
    <col min="7426" max="7426" width="16.6637168141593" style="108" customWidth="1"/>
    <col min="7427" max="7427" width="8" style="108" customWidth="1"/>
    <col min="7428" max="7673" width="9.16814159292035" style="108" customWidth="1"/>
    <col min="7674" max="7674" width="25.1681415929204" style="108" customWidth="1"/>
    <col min="7675" max="7675" width="18.6637168141593" style="108" customWidth="1"/>
    <col min="7676" max="7676" width="55.1681415929204" style="108" customWidth="1"/>
    <col min="7677" max="7678" width="8.16814159292035" style="108" customWidth="1"/>
    <col min="7679" max="7679" width="10.1681415929204" style="108" customWidth="1"/>
    <col min="7680" max="7680" width="11.6637168141593" style="108" customWidth="1"/>
    <col min="7681" max="7681" width="12" style="108" customWidth="1"/>
    <col min="7682" max="7682" width="16.6637168141593" style="108" customWidth="1"/>
    <col min="7683" max="7683" width="8" style="108" customWidth="1"/>
    <col min="7684" max="7929" width="9.16814159292035" style="108" customWidth="1"/>
    <col min="7930" max="7930" width="25.1681415929204" style="108" customWidth="1"/>
    <col min="7931" max="7931" width="18.6637168141593" style="108" customWidth="1"/>
    <col min="7932" max="7932" width="55.1681415929204" style="108" customWidth="1"/>
    <col min="7933" max="7934" width="8.16814159292035" style="108" customWidth="1"/>
    <col min="7935" max="7935" width="10.1681415929204" style="108" customWidth="1"/>
    <col min="7936" max="7936" width="11.6637168141593" style="108" customWidth="1"/>
    <col min="7937" max="7937" width="12" style="108" customWidth="1"/>
    <col min="7938" max="7938" width="16.6637168141593" style="108" customWidth="1"/>
    <col min="7939" max="7939" width="8" style="108" customWidth="1"/>
    <col min="7940" max="8185" width="9.16814159292035" style="108" customWidth="1"/>
    <col min="8186" max="8186" width="25.1681415929204" style="108" customWidth="1"/>
    <col min="8187" max="8187" width="18.6637168141593" style="108" customWidth="1"/>
    <col min="8188" max="8188" width="55.1681415929204" style="108" customWidth="1"/>
    <col min="8189" max="8190" width="8.16814159292035" style="108" customWidth="1"/>
    <col min="8191" max="8191" width="10.1681415929204" style="108" customWidth="1"/>
    <col min="8192" max="8192" width="11.6637168141593" style="108" customWidth="1"/>
    <col min="8193" max="8193" width="12" style="108" customWidth="1"/>
    <col min="8194" max="8194" width="16.6637168141593" style="108" customWidth="1"/>
    <col min="8195" max="8195" width="8" style="108" customWidth="1"/>
    <col min="8196" max="8441" width="9.16814159292035" style="108" customWidth="1"/>
    <col min="8442" max="8442" width="25.1681415929204" style="108" customWidth="1"/>
    <col min="8443" max="8443" width="18.6637168141593" style="108" customWidth="1"/>
    <col min="8444" max="8444" width="55.1681415929204" style="108" customWidth="1"/>
    <col min="8445" max="8446" width="8.16814159292035" style="108" customWidth="1"/>
    <col min="8447" max="8447" width="10.1681415929204" style="108" customWidth="1"/>
    <col min="8448" max="8448" width="11.6637168141593" style="108" customWidth="1"/>
    <col min="8449" max="8449" width="12" style="108" customWidth="1"/>
    <col min="8450" max="8450" width="16.6637168141593" style="108" customWidth="1"/>
    <col min="8451" max="8451" width="8" style="108" customWidth="1"/>
    <col min="8452" max="8697" width="9.16814159292035" style="108" customWidth="1"/>
    <col min="8698" max="8698" width="25.1681415929204" style="108" customWidth="1"/>
    <col min="8699" max="8699" width="18.6637168141593" style="108" customWidth="1"/>
    <col min="8700" max="8700" width="55.1681415929204" style="108" customWidth="1"/>
    <col min="8701" max="8702" width="8.16814159292035" style="108" customWidth="1"/>
    <col min="8703" max="8703" width="10.1681415929204" style="108" customWidth="1"/>
    <col min="8704" max="8704" width="11.6637168141593" style="108" customWidth="1"/>
    <col min="8705" max="8705" width="12" style="108" customWidth="1"/>
    <col min="8706" max="8706" width="16.6637168141593" style="108" customWidth="1"/>
    <col min="8707" max="8707" width="8" style="108" customWidth="1"/>
    <col min="8708" max="8953" width="9.16814159292035" style="108" customWidth="1"/>
    <col min="8954" max="8954" width="25.1681415929204" style="108" customWidth="1"/>
    <col min="8955" max="8955" width="18.6637168141593" style="108" customWidth="1"/>
    <col min="8956" max="8956" width="55.1681415929204" style="108" customWidth="1"/>
    <col min="8957" max="8958" width="8.16814159292035" style="108" customWidth="1"/>
    <col min="8959" max="8959" width="10.1681415929204" style="108" customWidth="1"/>
    <col min="8960" max="8960" width="11.6637168141593" style="108" customWidth="1"/>
    <col min="8961" max="8961" width="12" style="108" customWidth="1"/>
    <col min="8962" max="8962" width="16.6637168141593" style="108" customWidth="1"/>
    <col min="8963" max="8963" width="8" style="108" customWidth="1"/>
    <col min="8964" max="9209" width="9.16814159292035" style="108" customWidth="1"/>
    <col min="9210" max="9210" width="25.1681415929204" style="108" customWidth="1"/>
    <col min="9211" max="9211" width="18.6637168141593" style="108" customWidth="1"/>
    <col min="9212" max="9212" width="55.1681415929204" style="108" customWidth="1"/>
    <col min="9213" max="9214" width="8.16814159292035" style="108" customWidth="1"/>
    <col min="9215" max="9215" width="10.1681415929204" style="108" customWidth="1"/>
    <col min="9216" max="9216" width="11.6637168141593" style="108" customWidth="1"/>
    <col min="9217" max="9217" width="12" style="108" customWidth="1"/>
    <col min="9218" max="9218" width="16.6637168141593" style="108" customWidth="1"/>
    <col min="9219" max="9219" width="8" style="108" customWidth="1"/>
    <col min="9220" max="9465" width="9.16814159292035" style="108" customWidth="1"/>
    <col min="9466" max="9466" width="25.1681415929204" style="108" customWidth="1"/>
    <col min="9467" max="9467" width="18.6637168141593" style="108" customWidth="1"/>
    <col min="9468" max="9468" width="55.1681415929204" style="108" customWidth="1"/>
    <col min="9469" max="9470" width="8.16814159292035" style="108" customWidth="1"/>
    <col min="9471" max="9471" width="10.1681415929204" style="108" customWidth="1"/>
    <col min="9472" max="9472" width="11.6637168141593" style="108" customWidth="1"/>
    <col min="9473" max="9473" width="12" style="108" customWidth="1"/>
    <col min="9474" max="9474" width="16.6637168141593" style="108" customWidth="1"/>
    <col min="9475" max="9475" width="8" style="108" customWidth="1"/>
    <col min="9476" max="9721" width="9.16814159292035" style="108" customWidth="1"/>
    <col min="9722" max="9722" width="25.1681415929204" style="108" customWidth="1"/>
    <col min="9723" max="9723" width="18.6637168141593" style="108" customWidth="1"/>
    <col min="9724" max="9724" width="55.1681415929204" style="108" customWidth="1"/>
    <col min="9725" max="9726" width="8.16814159292035" style="108" customWidth="1"/>
    <col min="9727" max="9727" width="10.1681415929204" style="108" customWidth="1"/>
    <col min="9728" max="9728" width="11.6637168141593" style="108" customWidth="1"/>
    <col min="9729" max="9729" width="12" style="108" customWidth="1"/>
    <col min="9730" max="9730" width="16.6637168141593" style="108" customWidth="1"/>
    <col min="9731" max="9731" width="8" style="108" customWidth="1"/>
    <col min="9732" max="9977" width="9.16814159292035" style="108" customWidth="1"/>
    <col min="9978" max="9978" width="25.1681415929204" style="108" customWidth="1"/>
    <col min="9979" max="9979" width="18.6637168141593" style="108" customWidth="1"/>
    <col min="9980" max="9980" width="55.1681415929204" style="108" customWidth="1"/>
    <col min="9981" max="9982" width="8.16814159292035" style="108" customWidth="1"/>
    <col min="9983" max="9983" width="10.1681415929204" style="108" customWidth="1"/>
    <col min="9984" max="9984" width="11.6637168141593" style="108" customWidth="1"/>
    <col min="9985" max="9985" width="12" style="108" customWidth="1"/>
    <col min="9986" max="9986" width="16.6637168141593" style="108" customWidth="1"/>
    <col min="9987" max="9987" width="8" style="108" customWidth="1"/>
    <col min="9988" max="10233" width="9.16814159292035" style="108" customWidth="1"/>
    <col min="10234" max="10234" width="25.1681415929204" style="108" customWidth="1"/>
    <col min="10235" max="10235" width="18.6637168141593" style="108" customWidth="1"/>
    <col min="10236" max="10236" width="55.1681415929204" style="108" customWidth="1"/>
    <col min="10237" max="10238" width="8.16814159292035" style="108" customWidth="1"/>
    <col min="10239" max="10239" width="10.1681415929204" style="108" customWidth="1"/>
    <col min="10240" max="10240" width="11.6637168141593" style="108" customWidth="1"/>
    <col min="10241" max="10241" width="12" style="108" customWidth="1"/>
    <col min="10242" max="10242" width="16.6637168141593" style="108" customWidth="1"/>
    <col min="10243" max="10243" width="8" style="108" customWidth="1"/>
    <col min="10244" max="10489" width="9.16814159292035" style="108" customWidth="1"/>
    <col min="10490" max="10490" width="25.1681415929204" style="108" customWidth="1"/>
    <col min="10491" max="10491" width="18.6637168141593" style="108" customWidth="1"/>
    <col min="10492" max="10492" width="55.1681415929204" style="108" customWidth="1"/>
    <col min="10493" max="10494" width="8.16814159292035" style="108" customWidth="1"/>
    <col min="10495" max="10495" width="10.1681415929204" style="108" customWidth="1"/>
    <col min="10496" max="10496" width="11.6637168141593" style="108" customWidth="1"/>
    <col min="10497" max="10497" width="12" style="108" customWidth="1"/>
    <col min="10498" max="10498" width="16.6637168141593" style="108" customWidth="1"/>
    <col min="10499" max="10499" width="8" style="108" customWidth="1"/>
    <col min="10500" max="10745" width="9.16814159292035" style="108" customWidth="1"/>
    <col min="10746" max="10746" width="25.1681415929204" style="108" customWidth="1"/>
    <col min="10747" max="10747" width="18.6637168141593" style="108" customWidth="1"/>
    <col min="10748" max="10748" width="55.1681415929204" style="108" customWidth="1"/>
    <col min="10749" max="10750" width="8.16814159292035" style="108" customWidth="1"/>
    <col min="10751" max="10751" width="10.1681415929204" style="108" customWidth="1"/>
    <col min="10752" max="10752" width="11.6637168141593" style="108" customWidth="1"/>
    <col min="10753" max="10753" width="12" style="108" customWidth="1"/>
    <col min="10754" max="10754" width="16.6637168141593" style="108" customWidth="1"/>
    <col min="10755" max="10755" width="8" style="108" customWidth="1"/>
    <col min="10756" max="11001" width="9.16814159292035" style="108" customWidth="1"/>
    <col min="11002" max="11002" width="25.1681415929204" style="108" customWidth="1"/>
    <col min="11003" max="11003" width="18.6637168141593" style="108" customWidth="1"/>
    <col min="11004" max="11004" width="55.1681415929204" style="108" customWidth="1"/>
    <col min="11005" max="11006" width="8.16814159292035" style="108" customWidth="1"/>
    <col min="11007" max="11007" width="10.1681415929204" style="108" customWidth="1"/>
    <col min="11008" max="11008" width="11.6637168141593" style="108" customWidth="1"/>
    <col min="11009" max="11009" width="12" style="108" customWidth="1"/>
    <col min="11010" max="11010" width="16.6637168141593" style="108" customWidth="1"/>
    <col min="11011" max="11011" width="8" style="108" customWidth="1"/>
    <col min="11012" max="11257" width="9.16814159292035" style="108" customWidth="1"/>
    <col min="11258" max="11258" width="25.1681415929204" style="108" customWidth="1"/>
    <col min="11259" max="11259" width="18.6637168141593" style="108" customWidth="1"/>
    <col min="11260" max="11260" width="55.1681415929204" style="108" customWidth="1"/>
    <col min="11261" max="11262" width="8.16814159292035" style="108" customWidth="1"/>
    <col min="11263" max="11263" width="10.1681415929204" style="108" customWidth="1"/>
    <col min="11264" max="11264" width="11.6637168141593" style="108" customWidth="1"/>
    <col min="11265" max="11265" width="12" style="108" customWidth="1"/>
    <col min="11266" max="11266" width="16.6637168141593" style="108" customWidth="1"/>
    <col min="11267" max="11267" width="8" style="108" customWidth="1"/>
    <col min="11268" max="11513" width="9.16814159292035" style="108" customWidth="1"/>
    <col min="11514" max="11514" width="25.1681415929204" style="108" customWidth="1"/>
    <col min="11515" max="11515" width="18.6637168141593" style="108" customWidth="1"/>
    <col min="11516" max="11516" width="55.1681415929204" style="108" customWidth="1"/>
    <col min="11517" max="11518" width="8.16814159292035" style="108" customWidth="1"/>
    <col min="11519" max="11519" width="10.1681415929204" style="108" customWidth="1"/>
    <col min="11520" max="11520" width="11.6637168141593" style="108" customWidth="1"/>
    <col min="11521" max="11521" width="12" style="108" customWidth="1"/>
    <col min="11522" max="11522" width="16.6637168141593" style="108" customWidth="1"/>
    <col min="11523" max="11523" width="8" style="108" customWidth="1"/>
    <col min="11524" max="11769" width="9.16814159292035" style="108" customWidth="1"/>
    <col min="11770" max="11770" width="25.1681415929204" style="108" customWidth="1"/>
    <col min="11771" max="11771" width="18.6637168141593" style="108" customWidth="1"/>
    <col min="11772" max="11772" width="55.1681415929204" style="108" customWidth="1"/>
    <col min="11773" max="11774" width="8.16814159292035" style="108" customWidth="1"/>
    <col min="11775" max="11775" width="10.1681415929204" style="108" customWidth="1"/>
    <col min="11776" max="11776" width="11.6637168141593" style="108" customWidth="1"/>
    <col min="11777" max="11777" width="12" style="108" customWidth="1"/>
    <col min="11778" max="11778" width="16.6637168141593" style="108" customWidth="1"/>
    <col min="11779" max="11779" width="8" style="108" customWidth="1"/>
    <col min="11780" max="12025" width="9.16814159292035" style="108" customWidth="1"/>
    <col min="12026" max="12026" width="25.1681415929204" style="108" customWidth="1"/>
    <col min="12027" max="12027" width="18.6637168141593" style="108" customWidth="1"/>
    <col min="12028" max="12028" width="55.1681415929204" style="108" customWidth="1"/>
    <col min="12029" max="12030" width="8.16814159292035" style="108" customWidth="1"/>
    <col min="12031" max="12031" width="10.1681415929204" style="108" customWidth="1"/>
    <col min="12032" max="12032" width="11.6637168141593" style="108" customWidth="1"/>
    <col min="12033" max="12033" width="12" style="108" customWidth="1"/>
    <col min="12034" max="12034" width="16.6637168141593" style="108" customWidth="1"/>
    <col min="12035" max="12035" width="8" style="108" customWidth="1"/>
    <col min="12036" max="12281" width="9.16814159292035" style="108" customWidth="1"/>
    <col min="12282" max="12282" width="25.1681415929204" style="108" customWidth="1"/>
    <col min="12283" max="12283" width="18.6637168141593" style="108" customWidth="1"/>
    <col min="12284" max="12284" width="55.1681415929204" style="108" customWidth="1"/>
    <col min="12285" max="12286" width="8.16814159292035" style="108" customWidth="1"/>
    <col min="12287" max="12287" width="10.1681415929204" style="108" customWidth="1"/>
    <col min="12288" max="12288" width="11.6637168141593" style="108" customWidth="1"/>
    <col min="12289" max="12289" width="12" style="108" customWidth="1"/>
    <col min="12290" max="12290" width="16.6637168141593" style="108" customWidth="1"/>
    <col min="12291" max="12291" width="8" style="108" customWidth="1"/>
    <col min="12292" max="12537" width="9.16814159292035" style="108" customWidth="1"/>
    <col min="12538" max="12538" width="25.1681415929204" style="108" customWidth="1"/>
    <col min="12539" max="12539" width="18.6637168141593" style="108" customWidth="1"/>
    <col min="12540" max="12540" width="55.1681415929204" style="108" customWidth="1"/>
    <col min="12541" max="12542" width="8.16814159292035" style="108" customWidth="1"/>
    <col min="12543" max="12543" width="10.1681415929204" style="108" customWidth="1"/>
    <col min="12544" max="12544" width="11.6637168141593" style="108" customWidth="1"/>
    <col min="12545" max="12545" width="12" style="108" customWidth="1"/>
    <col min="12546" max="12546" width="16.6637168141593" style="108" customWidth="1"/>
    <col min="12547" max="12547" width="8" style="108" customWidth="1"/>
    <col min="12548" max="12793" width="9.16814159292035" style="108" customWidth="1"/>
    <col min="12794" max="12794" width="25.1681415929204" style="108" customWidth="1"/>
    <col min="12795" max="12795" width="18.6637168141593" style="108" customWidth="1"/>
    <col min="12796" max="12796" width="55.1681415929204" style="108" customWidth="1"/>
    <col min="12797" max="12798" width="8.16814159292035" style="108" customWidth="1"/>
    <col min="12799" max="12799" width="10.1681415929204" style="108" customWidth="1"/>
    <col min="12800" max="12800" width="11.6637168141593" style="108" customWidth="1"/>
    <col min="12801" max="12801" width="12" style="108" customWidth="1"/>
    <col min="12802" max="12802" width="16.6637168141593" style="108" customWidth="1"/>
    <col min="12803" max="12803" width="8" style="108" customWidth="1"/>
    <col min="12804" max="13049" width="9.16814159292035" style="108" customWidth="1"/>
    <col min="13050" max="13050" width="25.1681415929204" style="108" customWidth="1"/>
    <col min="13051" max="13051" width="18.6637168141593" style="108" customWidth="1"/>
    <col min="13052" max="13052" width="55.1681415929204" style="108" customWidth="1"/>
    <col min="13053" max="13054" width="8.16814159292035" style="108" customWidth="1"/>
    <col min="13055" max="13055" width="10.1681415929204" style="108" customWidth="1"/>
    <col min="13056" max="13056" width="11.6637168141593" style="108" customWidth="1"/>
    <col min="13057" max="13057" width="12" style="108" customWidth="1"/>
    <col min="13058" max="13058" width="16.6637168141593" style="108" customWidth="1"/>
    <col min="13059" max="13059" width="8" style="108" customWidth="1"/>
    <col min="13060" max="13305" width="9.16814159292035" style="108" customWidth="1"/>
    <col min="13306" max="13306" width="25.1681415929204" style="108" customWidth="1"/>
    <col min="13307" max="13307" width="18.6637168141593" style="108" customWidth="1"/>
    <col min="13308" max="13308" width="55.1681415929204" style="108" customWidth="1"/>
    <col min="13309" max="13310" width="8.16814159292035" style="108" customWidth="1"/>
    <col min="13311" max="13311" width="10.1681415929204" style="108" customWidth="1"/>
    <col min="13312" max="13312" width="11.6637168141593" style="108" customWidth="1"/>
    <col min="13313" max="13313" width="12" style="108" customWidth="1"/>
    <col min="13314" max="13314" width="16.6637168141593" style="108" customWidth="1"/>
    <col min="13315" max="13315" width="8" style="108" customWidth="1"/>
    <col min="13316" max="13561" width="9.16814159292035" style="108" customWidth="1"/>
    <col min="13562" max="13562" width="25.1681415929204" style="108" customWidth="1"/>
    <col min="13563" max="13563" width="18.6637168141593" style="108" customWidth="1"/>
    <col min="13564" max="13564" width="55.1681415929204" style="108" customWidth="1"/>
    <col min="13565" max="13566" width="8.16814159292035" style="108" customWidth="1"/>
    <col min="13567" max="13567" width="10.1681415929204" style="108" customWidth="1"/>
    <col min="13568" max="13568" width="11.6637168141593" style="108" customWidth="1"/>
    <col min="13569" max="13569" width="12" style="108" customWidth="1"/>
    <col min="13570" max="13570" width="16.6637168141593" style="108" customWidth="1"/>
    <col min="13571" max="13571" width="8" style="108" customWidth="1"/>
    <col min="13572" max="13817" width="9.16814159292035" style="108" customWidth="1"/>
    <col min="13818" max="13818" width="25.1681415929204" style="108" customWidth="1"/>
    <col min="13819" max="13819" width="18.6637168141593" style="108" customWidth="1"/>
    <col min="13820" max="13820" width="55.1681415929204" style="108" customWidth="1"/>
    <col min="13821" max="13822" width="8.16814159292035" style="108" customWidth="1"/>
    <col min="13823" max="13823" width="10.1681415929204" style="108" customWidth="1"/>
    <col min="13824" max="13824" width="11.6637168141593" style="108" customWidth="1"/>
    <col min="13825" max="13825" width="12" style="108" customWidth="1"/>
    <col min="13826" max="13826" width="16.6637168141593" style="108" customWidth="1"/>
    <col min="13827" max="13827" width="8" style="108" customWidth="1"/>
    <col min="13828" max="14073" width="9.16814159292035" style="108" customWidth="1"/>
    <col min="14074" max="14074" width="25.1681415929204" style="108" customWidth="1"/>
    <col min="14075" max="14075" width="18.6637168141593" style="108" customWidth="1"/>
    <col min="14076" max="14076" width="55.1681415929204" style="108" customWidth="1"/>
    <col min="14077" max="14078" width="8.16814159292035" style="108" customWidth="1"/>
    <col min="14079" max="14079" width="10.1681415929204" style="108" customWidth="1"/>
    <col min="14080" max="14080" width="11.6637168141593" style="108" customWidth="1"/>
    <col min="14081" max="14081" width="12" style="108" customWidth="1"/>
    <col min="14082" max="14082" width="16.6637168141593" style="108" customWidth="1"/>
    <col min="14083" max="14083" width="8" style="108" customWidth="1"/>
    <col min="14084" max="14329" width="9.16814159292035" style="108" customWidth="1"/>
    <col min="14330" max="14330" width="25.1681415929204" style="108" customWidth="1"/>
    <col min="14331" max="14331" width="18.6637168141593" style="108" customWidth="1"/>
    <col min="14332" max="14332" width="55.1681415929204" style="108" customWidth="1"/>
    <col min="14333" max="14334" width="8.16814159292035" style="108" customWidth="1"/>
    <col min="14335" max="14335" width="10.1681415929204" style="108" customWidth="1"/>
    <col min="14336" max="14336" width="11.6637168141593" style="108" customWidth="1"/>
    <col min="14337" max="14337" width="12" style="108" customWidth="1"/>
    <col min="14338" max="14338" width="16.6637168141593" style="108" customWidth="1"/>
    <col min="14339" max="14339" width="8" style="108" customWidth="1"/>
    <col min="14340" max="14585" width="9.16814159292035" style="108" customWidth="1"/>
    <col min="14586" max="14586" width="25.1681415929204" style="108" customWidth="1"/>
    <col min="14587" max="14587" width="18.6637168141593" style="108" customWidth="1"/>
    <col min="14588" max="14588" width="55.1681415929204" style="108" customWidth="1"/>
    <col min="14589" max="14590" width="8.16814159292035" style="108" customWidth="1"/>
    <col min="14591" max="14591" width="10.1681415929204" style="108" customWidth="1"/>
    <col min="14592" max="14592" width="11.6637168141593" style="108" customWidth="1"/>
    <col min="14593" max="14593" width="12" style="108" customWidth="1"/>
    <col min="14594" max="14594" width="16.6637168141593" style="108" customWidth="1"/>
    <col min="14595" max="14595" width="8" style="108" customWidth="1"/>
    <col min="14596" max="14841" width="9.16814159292035" style="108" customWidth="1"/>
    <col min="14842" max="14842" width="25.1681415929204" style="108" customWidth="1"/>
    <col min="14843" max="14843" width="18.6637168141593" style="108" customWidth="1"/>
    <col min="14844" max="14844" width="55.1681415929204" style="108" customWidth="1"/>
    <col min="14845" max="14846" width="8.16814159292035" style="108" customWidth="1"/>
    <col min="14847" max="14847" width="10.1681415929204" style="108" customWidth="1"/>
    <col min="14848" max="14848" width="11.6637168141593" style="108" customWidth="1"/>
    <col min="14849" max="14849" width="12" style="108" customWidth="1"/>
    <col min="14850" max="14850" width="16.6637168141593" style="108" customWidth="1"/>
    <col min="14851" max="14851" width="8" style="108" customWidth="1"/>
    <col min="14852" max="15097" width="9.16814159292035" style="108" customWidth="1"/>
    <col min="15098" max="15098" width="25.1681415929204" style="108" customWidth="1"/>
    <col min="15099" max="15099" width="18.6637168141593" style="108" customWidth="1"/>
    <col min="15100" max="15100" width="55.1681415929204" style="108" customWidth="1"/>
    <col min="15101" max="15102" width="8.16814159292035" style="108" customWidth="1"/>
    <col min="15103" max="15103" width="10.1681415929204" style="108" customWidth="1"/>
    <col min="15104" max="15104" width="11.6637168141593" style="108" customWidth="1"/>
    <col min="15105" max="15105" width="12" style="108" customWidth="1"/>
    <col min="15106" max="15106" width="16.6637168141593" style="108" customWidth="1"/>
    <col min="15107" max="15107" width="8" style="108" customWidth="1"/>
    <col min="15108" max="15353" width="9.16814159292035" style="108" customWidth="1"/>
    <col min="15354" max="15354" width="25.1681415929204" style="108" customWidth="1"/>
    <col min="15355" max="15355" width="18.6637168141593" style="108" customWidth="1"/>
    <col min="15356" max="15356" width="55.1681415929204" style="108" customWidth="1"/>
    <col min="15357" max="15358" width="8.16814159292035" style="108" customWidth="1"/>
    <col min="15359" max="15359" width="10.1681415929204" style="108" customWidth="1"/>
    <col min="15360" max="15360" width="11.6637168141593" style="108" customWidth="1"/>
    <col min="15361" max="15361" width="12" style="108" customWidth="1"/>
    <col min="15362" max="15362" width="16.6637168141593" style="108" customWidth="1"/>
    <col min="15363" max="15363" width="8" style="108" customWidth="1"/>
    <col min="15364" max="15609" width="9.16814159292035" style="108" customWidth="1"/>
    <col min="15610" max="15610" width="25.1681415929204" style="108" customWidth="1"/>
    <col min="15611" max="15611" width="18.6637168141593" style="108" customWidth="1"/>
    <col min="15612" max="15612" width="55.1681415929204" style="108" customWidth="1"/>
    <col min="15613" max="15614" width="8.16814159292035" style="108" customWidth="1"/>
    <col min="15615" max="15615" width="10.1681415929204" style="108" customWidth="1"/>
    <col min="15616" max="15616" width="11.6637168141593" style="108" customWidth="1"/>
    <col min="15617" max="15617" width="12" style="108" customWidth="1"/>
    <col min="15618" max="15618" width="16.6637168141593" style="108" customWidth="1"/>
    <col min="15619" max="15619" width="8" style="108" customWidth="1"/>
    <col min="15620" max="15865" width="9.16814159292035" style="108" customWidth="1"/>
    <col min="15866" max="15866" width="25.1681415929204" style="108" customWidth="1"/>
    <col min="15867" max="15867" width="18.6637168141593" style="108" customWidth="1"/>
    <col min="15868" max="15868" width="55.1681415929204" style="108" customWidth="1"/>
    <col min="15869" max="15870" width="8.16814159292035" style="108" customWidth="1"/>
    <col min="15871" max="15871" width="10.1681415929204" style="108" customWidth="1"/>
    <col min="15872" max="15872" width="11.6637168141593" style="108" customWidth="1"/>
    <col min="15873" max="15873" width="12" style="108" customWidth="1"/>
    <col min="15874" max="15874" width="16.6637168141593" style="108" customWidth="1"/>
    <col min="15875" max="15875" width="8" style="108" customWidth="1"/>
    <col min="15876" max="16121" width="9.16814159292035" style="108" customWidth="1"/>
    <col min="16122" max="16122" width="25.1681415929204" style="108" customWidth="1"/>
    <col min="16123" max="16123" width="18.6637168141593" style="108" customWidth="1"/>
    <col min="16124" max="16124" width="55.1681415929204" style="108" customWidth="1"/>
    <col min="16125" max="16126" width="8.16814159292035" style="108" customWidth="1"/>
    <col min="16127" max="16127" width="10.1681415929204" style="108" customWidth="1"/>
    <col min="16128" max="16128" width="11.6637168141593" style="108" customWidth="1"/>
    <col min="16129" max="16129" width="12" style="108" customWidth="1"/>
    <col min="16130" max="16130" width="16.6637168141593" style="108" customWidth="1"/>
    <col min="16131" max="16131" width="8" style="108" customWidth="1"/>
    <col min="16132" max="16379" width="9.16814159292035" style="108" customWidth="1"/>
    <col min="16380" max="16384" width="9.16814159292035" style="108"/>
  </cols>
  <sheetData>
    <row r="1" s="309" customFormat="1" spans="1:11">
      <c r="A1" s="70" t="s">
        <v>50</v>
      </c>
      <c r="B1" s="70" t="s">
        <v>51</v>
      </c>
      <c r="C1" s="70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60" customHeight="1" spans="1:11">
      <c r="A2" s="313" t="s">
        <v>61</v>
      </c>
      <c r="B2" s="109" t="s">
        <v>38</v>
      </c>
      <c r="C2" s="122" t="s">
        <v>62</v>
      </c>
      <c r="D2" s="380" t="s">
        <v>63</v>
      </c>
      <c r="E2" s="122" t="s">
        <v>64</v>
      </c>
      <c r="F2" s="273">
        <v>4</v>
      </c>
      <c r="G2" s="122" t="s">
        <v>65</v>
      </c>
      <c r="H2" s="381">
        <v>342833</v>
      </c>
      <c r="I2" s="100"/>
      <c r="J2" s="86"/>
      <c r="K2" s="100"/>
    </row>
    <row r="3" ht="45" customHeight="1" spans="1:11">
      <c r="A3" s="313" t="s">
        <v>66</v>
      </c>
      <c r="B3" s="109" t="s">
        <v>38</v>
      </c>
      <c r="C3" s="273" t="s">
        <v>67</v>
      </c>
      <c r="D3" s="284" t="s">
        <v>68</v>
      </c>
      <c r="E3" s="273" t="s">
        <v>64</v>
      </c>
      <c r="F3" s="273">
        <v>4</v>
      </c>
      <c r="G3" s="273" t="s">
        <v>69</v>
      </c>
      <c r="H3" s="72">
        <v>1207355</v>
      </c>
      <c r="I3" s="100"/>
      <c r="J3" s="238"/>
      <c r="K3" s="100"/>
    </row>
    <row r="4" ht="45" customHeight="1" spans="1:11">
      <c r="A4" s="313" t="s">
        <v>66</v>
      </c>
      <c r="B4" s="109" t="s">
        <v>38</v>
      </c>
      <c r="C4" s="273" t="s">
        <v>70</v>
      </c>
      <c r="D4" s="284" t="s">
        <v>71</v>
      </c>
      <c r="E4" s="273" t="s">
        <v>64</v>
      </c>
      <c r="F4" s="273">
        <v>4</v>
      </c>
      <c r="G4" s="273" t="s">
        <v>69</v>
      </c>
      <c r="H4" s="72">
        <v>1207355</v>
      </c>
      <c r="I4" s="100"/>
      <c r="J4" s="238"/>
      <c r="K4" s="100"/>
    </row>
    <row r="5" ht="45" customHeight="1" spans="1:11">
      <c r="A5" s="313" t="s">
        <v>66</v>
      </c>
      <c r="B5" s="109" t="s">
        <v>38</v>
      </c>
      <c r="C5" s="273" t="s">
        <v>72</v>
      </c>
      <c r="D5" s="284" t="s">
        <v>73</v>
      </c>
      <c r="E5" s="273" t="s">
        <v>64</v>
      </c>
      <c r="F5" s="273">
        <v>4</v>
      </c>
      <c r="G5" s="273" t="s">
        <v>69</v>
      </c>
      <c r="H5" s="72">
        <v>2035338</v>
      </c>
      <c r="I5" s="100"/>
      <c r="J5" s="238"/>
      <c r="K5" s="100"/>
    </row>
    <row r="6" ht="45" customHeight="1" spans="1:11">
      <c r="A6" s="313" t="s">
        <v>66</v>
      </c>
      <c r="B6" s="109" t="s">
        <v>38</v>
      </c>
      <c r="C6" s="273" t="s">
        <v>74</v>
      </c>
      <c r="D6" s="284" t="s">
        <v>75</v>
      </c>
      <c r="E6" s="273" t="s">
        <v>64</v>
      </c>
      <c r="F6" s="273">
        <v>4</v>
      </c>
      <c r="G6" s="273" t="s">
        <v>69</v>
      </c>
      <c r="H6" s="72">
        <v>2035338</v>
      </c>
      <c r="I6" s="100"/>
      <c r="J6" s="238"/>
      <c r="K6" s="100"/>
    </row>
    <row r="7" ht="45" customHeight="1" spans="1:11">
      <c r="A7" s="313" t="s">
        <v>61</v>
      </c>
      <c r="B7" s="382" t="s">
        <v>38</v>
      </c>
      <c r="C7" s="122" t="s">
        <v>76</v>
      </c>
      <c r="D7" s="380" t="s">
        <v>77</v>
      </c>
      <c r="E7" s="122" t="s">
        <v>64</v>
      </c>
      <c r="F7" s="273">
        <v>4</v>
      </c>
      <c r="G7" s="122" t="s">
        <v>69</v>
      </c>
      <c r="H7" s="381">
        <v>778596</v>
      </c>
      <c r="I7" s="100"/>
      <c r="J7" s="383"/>
      <c r="K7" s="100"/>
    </row>
    <row r="8" ht="45" customHeight="1" spans="1:11">
      <c r="A8" s="313" t="s">
        <v>66</v>
      </c>
      <c r="B8" s="109" t="s">
        <v>38</v>
      </c>
      <c r="C8" s="122" t="s">
        <v>78</v>
      </c>
      <c r="D8" s="380" t="s">
        <v>79</v>
      </c>
      <c r="E8" s="122" t="s">
        <v>64</v>
      </c>
      <c r="F8" s="273">
        <v>4</v>
      </c>
      <c r="G8" s="122" t="s">
        <v>69</v>
      </c>
      <c r="H8" s="381">
        <v>1921374</v>
      </c>
      <c r="I8" s="100"/>
      <c r="J8" s="383"/>
      <c r="K8" s="100"/>
    </row>
    <row r="9" ht="45" customHeight="1" spans="1:11">
      <c r="A9" s="313" t="s">
        <v>66</v>
      </c>
      <c r="B9" s="109" t="s">
        <v>38</v>
      </c>
      <c r="C9" s="122" t="s">
        <v>80</v>
      </c>
      <c r="D9" s="380" t="s">
        <v>81</v>
      </c>
      <c r="E9" s="122" t="s">
        <v>64</v>
      </c>
      <c r="F9" s="273">
        <v>4</v>
      </c>
      <c r="G9" s="122" t="s">
        <v>69</v>
      </c>
      <c r="H9" s="381">
        <v>1921374</v>
      </c>
      <c r="I9" s="100"/>
      <c r="J9" s="383"/>
      <c r="K9" s="100"/>
    </row>
    <row r="10" ht="45" customHeight="1" spans="1:11">
      <c r="A10" s="313" t="s">
        <v>66</v>
      </c>
      <c r="B10" s="109" t="s">
        <v>38</v>
      </c>
      <c r="C10" s="122" t="s">
        <v>82</v>
      </c>
      <c r="D10" s="380" t="s">
        <v>83</v>
      </c>
      <c r="E10" s="122" t="s">
        <v>64</v>
      </c>
      <c r="F10" s="273">
        <v>4</v>
      </c>
      <c r="G10" s="122" t="s">
        <v>69</v>
      </c>
      <c r="H10" s="381">
        <v>3204802</v>
      </c>
      <c r="I10" s="100"/>
      <c r="J10" s="383"/>
      <c r="K10" s="100"/>
    </row>
    <row r="11" ht="45" customHeight="1" spans="1:11">
      <c r="A11" s="313" t="s">
        <v>66</v>
      </c>
      <c r="B11" s="109" t="s">
        <v>38</v>
      </c>
      <c r="C11" s="122" t="s">
        <v>84</v>
      </c>
      <c r="D11" s="380" t="s">
        <v>85</v>
      </c>
      <c r="E11" s="122" t="s">
        <v>64</v>
      </c>
      <c r="F11" s="273">
        <v>4</v>
      </c>
      <c r="G11" s="122" t="s">
        <v>69</v>
      </c>
      <c r="H11" s="381">
        <v>3204802</v>
      </c>
      <c r="I11" s="100"/>
      <c r="J11" s="383"/>
      <c r="K11" s="100"/>
    </row>
    <row r="12" ht="45" customHeight="1" spans="1:11">
      <c r="A12" s="313" t="s">
        <v>86</v>
      </c>
      <c r="B12" s="109" t="s">
        <v>33</v>
      </c>
      <c r="C12" s="117" t="s">
        <v>87</v>
      </c>
      <c r="D12" s="384" t="s">
        <v>88</v>
      </c>
      <c r="E12" s="122" t="s">
        <v>64</v>
      </c>
      <c r="F12" s="273">
        <v>4</v>
      </c>
      <c r="G12" s="110" t="s">
        <v>69</v>
      </c>
      <c r="H12" s="72">
        <v>475948</v>
      </c>
      <c r="I12" s="100"/>
      <c r="J12" s="100"/>
      <c r="K12" s="110"/>
    </row>
    <row r="13" ht="33" customHeight="1" spans="1:11">
      <c r="A13" s="313" t="s">
        <v>86</v>
      </c>
      <c r="B13" s="109" t="s">
        <v>40</v>
      </c>
      <c r="C13" s="122" t="s">
        <v>89</v>
      </c>
      <c r="D13" s="380" t="s">
        <v>90</v>
      </c>
      <c r="E13" s="122" t="s">
        <v>64</v>
      </c>
      <c r="F13" s="273">
        <v>4</v>
      </c>
      <c r="G13" s="122" t="s">
        <v>69</v>
      </c>
      <c r="H13" s="381">
        <v>954408</v>
      </c>
      <c r="I13" s="100"/>
      <c r="J13" s="383"/>
      <c r="K13" s="100"/>
    </row>
    <row r="14" ht="30" customHeight="1" spans="1:11">
      <c r="A14" s="313" t="s">
        <v>86</v>
      </c>
      <c r="B14" s="109" t="s">
        <v>40</v>
      </c>
      <c r="C14" s="122" t="s">
        <v>91</v>
      </c>
      <c r="D14" s="380" t="s">
        <v>92</v>
      </c>
      <c r="E14" s="122" t="s">
        <v>64</v>
      </c>
      <c r="F14" s="273">
        <v>4</v>
      </c>
      <c r="G14" s="122" t="s">
        <v>65</v>
      </c>
      <c r="H14" s="381">
        <v>237346</v>
      </c>
      <c r="I14" s="100"/>
      <c r="J14" s="383"/>
      <c r="K14" s="100"/>
    </row>
    <row r="15" ht="30" customHeight="1" spans="1:11">
      <c r="A15" s="313" t="s">
        <v>86</v>
      </c>
      <c r="B15" s="109" t="s">
        <v>40</v>
      </c>
      <c r="C15" s="122" t="s">
        <v>93</v>
      </c>
      <c r="D15" s="380" t="s">
        <v>94</v>
      </c>
      <c r="E15" s="122" t="s">
        <v>64</v>
      </c>
      <c r="F15" s="273">
        <v>4</v>
      </c>
      <c r="G15" s="122" t="s">
        <v>65</v>
      </c>
      <c r="H15" s="381">
        <v>263718</v>
      </c>
      <c r="I15" s="100"/>
      <c r="J15" s="383"/>
      <c r="K15" s="100"/>
    </row>
    <row r="16" ht="40.5" customHeight="1" spans="1:11">
      <c r="A16" s="313" t="s">
        <v>86</v>
      </c>
      <c r="B16" s="109" t="s">
        <v>40</v>
      </c>
      <c r="C16" s="122" t="s">
        <v>95</v>
      </c>
      <c r="D16" s="380" t="s">
        <v>96</v>
      </c>
      <c r="E16" s="122" t="s">
        <v>64</v>
      </c>
      <c r="F16" s="273">
        <v>4</v>
      </c>
      <c r="G16" s="122" t="s">
        <v>65</v>
      </c>
      <c r="H16" s="381">
        <v>552552</v>
      </c>
      <c r="I16" s="100"/>
      <c r="J16" s="383"/>
      <c r="K16" s="100"/>
    </row>
    <row r="17" ht="30" customHeight="1" spans="1:11">
      <c r="A17" s="313" t="s">
        <v>86</v>
      </c>
      <c r="B17" s="109" t="s">
        <v>40</v>
      </c>
      <c r="C17" s="122" t="s">
        <v>97</v>
      </c>
      <c r="D17" s="380" t="s">
        <v>98</v>
      </c>
      <c r="E17" s="122" t="s">
        <v>64</v>
      </c>
      <c r="F17" s="273">
        <v>4</v>
      </c>
      <c r="G17" s="122" t="s">
        <v>65</v>
      </c>
      <c r="H17" s="381">
        <v>1002128</v>
      </c>
      <c r="I17" s="100"/>
      <c r="J17" s="383"/>
      <c r="K17" s="100"/>
    </row>
    <row r="18" ht="44" customHeight="1" spans="1:11">
      <c r="A18" s="313" t="s">
        <v>86</v>
      </c>
      <c r="B18" s="109" t="s">
        <v>40</v>
      </c>
      <c r="C18" s="122" t="s">
        <v>99</v>
      </c>
      <c r="D18" s="380" t="s">
        <v>100</v>
      </c>
      <c r="E18" s="122" t="s">
        <v>64</v>
      </c>
      <c r="F18" s="273">
        <v>4</v>
      </c>
      <c r="G18" s="122" t="s">
        <v>69</v>
      </c>
      <c r="H18" s="381">
        <v>1105104</v>
      </c>
      <c r="I18" s="100"/>
      <c r="J18" s="383"/>
      <c r="K18" s="100"/>
    </row>
    <row r="19" ht="30" customHeight="1" spans="1:11">
      <c r="A19" s="313" t="s">
        <v>86</v>
      </c>
      <c r="B19" s="109" t="s">
        <v>40</v>
      </c>
      <c r="C19" s="122" t="s">
        <v>101</v>
      </c>
      <c r="D19" s="380" t="s">
        <v>102</v>
      </c>
      <c r="E19" s="122" t="s">
        <v>64</v>
      </c>
      <c r="F19" s="273">
        <v>4</v>
      </c>
      <c r="G19" s="122" t="s">
        <v>65</v>
      </c>
      <c r="H19" s="381">
        <v>1054872</v>
      </c>
      <c r="I19" s="100"/>
      <c r="J19" s="383"/>
      <c r="K19" s="100"/>
    </row>
    <row r="20" ht="15" customHeight="1" spans="1:11">
      <c r="A20" s="313" t="s">
        <v>86</v>
      </c>
      <c r="B20" s="109" t="s">
        <v>39</v>
      </c>
      <c r="C20" s="122" t="s">
        <v>103</v>
      </c>
      <c r="D20" s="284" t="s">
        <v>104</v>
      </c>
      <c r="E20" s="122" t="s">
        <v>64</v>
      </c>
      <c r="F20" s="273">
        <v>4</v>
      </c>
      <c r="G20" s="122" t="s">
        <v>69</v>
      </c>
      <c r="H20" s="381">
        <v>1029756</v>
      </c>
      <c r="I20" s="100"/>
      <c r="J20" s="100"/>
      <c r="K20" s="110"/>
    </row>
    <row r="21" ht="15" customHeight="1" spans="1:11">
      <c r="A21" s="313" t="s">
        <v>86</v>
      </c>
      <c r="B21" s="109" t="s">
        <v>39</v>
      </c>
      <c r="C21" s="122" t="s">
        <v>105</v>
      </c>
      <c r="D21" s="380" t="s">
        <v>106</v>
      </c>
      <c r="E21" s="122" t="s">
        <v>64</v>
      </c>
      <c r="F21" s="273">
        <v>4</v>
      </c>
      <c r="G21" s="122" t="s">
        <v>65</v>
      </c>
      <c r="H21" s="381">
        <v>577668</v>
      </c>
      <c r="I21" s="100"/>
      <c r="J21" s="383"/>
      <c r="K21" s="100"/>
    </row>
    <row r="22" ht="45" customHeight="1" spans="1:11">
      <c r="A22" s="313" t="s">
        <v>86</v>
      </c>
      <c r="B22" s="109" t="s">
        <v>40</v>
      </c>
      <c r="C22" s="122" t="s">
        <v>107</v>
      </c>
      <c r="D22" s="380" t="s">
        <v>108</v>
      </c>
      <c r="E22" s="122" t="s">
        <v>64</v>
      </c>
      <c r="F22" s="273">
        <v>4</v>
      </c>
      <c r="G22" s="122" t="s">
        <v>69</v>
      </c>
      <c r="H22" s="381">
        <v>1205568</v>
      </c>
      <c r="I22" s="100"/>
      <c r="J22" s="383"/>
      <c r="K22" s="100"/>
    </row>
    <row r="23" ht="45" customHeight="1" spans="1:11">
      <c r="A23" s="313" t="s">
        <v>86</v>
      </c>
      <c r="B23" s="109" t="s">
        <v>40</v>
      </c>
      <c r="C23" s="122" t="s">
        <v>109</v>
      </c>
      <c r="D23" s="284" t="s">
        <v>110</v>
      </c>
      <c r="E23" s="122" t="s">
        <v>64</v>
      </c>
      <c r="F23" s="273">
        <v>4</v>
      </c>
      <c r="G23" s="122" t="s">
        <v>69</v>
      </c>
      <c r="H23" s="381">
        <v>806726</v>
      </c>
      <c r="I23" s="100"/>
      <c r="J23" s="86"/>
      <c r="K23" s="100"/>
    </row>
    <row r="24" ht="30" customHeight="1" spans="1:11">
      <c r="A24" s="313" t="s">
        <v>86</v>
      </c>
      <c r="B24" s="109" t="s">
        <v>40</v>
      </c>
      <c r="C24" s="122" t="s">
        <v>111</v>
      </c>
      <c r="D24" s="380" t="s">
        <v>112</v>
      </c>
      <c r="E24" s="122" t="s">
        <v>64</v>
      </c>
      <c r="F24" s="273">
        <v>4</v>
      </c>
      <c r="G24" s="122" t="s">
        <v>69</v>
      </c>
      <c r="H24" s="381">
        <v>685667</v>
      </c>
      <c r="I24" s="100"/>
      <c r="J24" s="86"/>
      <c r="K24" s="100"/>
    </row>
    <row r="25" ht="30" customHeight="1" spans="1:11">
      <c r="A25" s="313" t="s">
        <v>86</v>
      </c>
      <c r="B25" s="109" t="s">
        <v>40</v>
      </c>
      <c r="C25" s="122" t="s">
        <v>113</v>
      </c>
      <c r="D25" s="380" t="s">
        <v>114</v>
      </c>
      <c r="E25" s="122" t="s">
        <v>64</v>
      </c>
      <c r="F25" s="273">
        <v>4</v>
      </c>
      <c r="G25" s="122" t="s">
        <v>69</v>
      </c>
      <c r="H25" s="381">
        <v>718318</v>
      </c>
      <c r="I25" s="100"/>
      <c r="J25" s="86"/>
      <c r="K25" s="100"/>
    </row>
    <row r="26" ht="28" customHeight="1" spans="1:11">
      <c r="A26" s="313" t="s">
        <v>115</v>
      </c>
      <c r="B26" s="109" t="s">
        <v>25</v>
      </c>
      <c r="C26" s="122" t="s">
        <v>116</v>
      </c>
      <c r="D26" s="380" t="s">
        <v>117</v>
      </c>
      <c r="E26" s="122" t="s">
        <v>64</v>
      </c>
      <c r="F26" s="273">
        <v>4</v>
      </c>
      <c r="G26" s="122" t="s">
        <v>65</v>
      </c>
      <c r="H26" s="381">
        <v>131859</v>
      </c>
      <c r="I26" s="100"/>
      <c r="J26" s="86"/>
      <c r="K26" s="100"/>
    </row>
    <row r="27" ht="28" customHeight="1" spans="1:11">
      <c r="A27" s="313" t="s">
        <v>115</v>
      </c>
      <c r="B27" s="109" t="s">
        <v>25</v>
      </c>
      <c r="C27" s="122" t="s">
        <v>118</v>
      </c>
      <c r="D27" s="380" t="s">
        <v>119</v>
      </c>
      <c r="E27" s="122" t="s">
        <v>64</v>
      </c>
      <c r="F27" s="273">
        <v>4</v>
      </c>
      <c r="G27" s="122" t="s">
        <v>65</v>
      </c>
      <c r="H27" s="381">
        <v>184603</v>
      </c>
      <c r="I27" s="100"/>
      <c r="J27" s="86"/>
      <c r="K27" s="100"/>
    </row>
    <row r="28" ht="28" customHeight="1" spans="1:11">
      <c r="A28" s="313" t="s">
        <v>120</v>
      </c>
      <c r="B28" s="109" t="s">
        <v>28</v>
      </c>
      <c r="C28" s="122" t="s">
        <v>121</v>
      </c>
      <c r="D28" s="380" t="s">
        <v>122</v>
      </c>
      <c r="E28" s="122" t="s">
        <v>64</v>
      </c>
      <c r="F28" s="273">
        <v>4</v>
      </c>
      <c r="G28" s="122" t="s">
        <v>65</v>
      </c>
      <c r="H28" s="381">
        <v>26372</v>
      </c>
      <c r="I28" s="100"/>
      <c r="J28" s="86"/>
      <c r="K28" s="100"/>
    </row>
    <row r="29" ht="28" customHeight="1" spans="1:11">
      <c r="A29" s="313" t="s">
        <v>120</v>
      </c>
      <c r="B29" s="109" t="s">
        <v>28</v>
      </c>
      <c r="C29" s="122" t="s">
        <v>123</v>
      </c>
      <c r="D29" s="380" t="s">
        <v>124</v>
      </c>
      <c r="E29" s="122" t="s">
        <v>64</v>
      </c>
      <c r="F29" s="273">
        <v>4</v>
      </c>
      <c r="G29" s="122" t="s">
        <v>65</v>
      </c>
      <c r="H29" s="72">
        <v>67596</v>
      </c>
      <c r="I29" s="115"/>
      <c r="J29" s="100"/>
      <c r="K29" s="115"/>
    </row>
    <row r="30" ht="30" customHeight="1" spans="1:11">
      <c r="A30" s="313" t="s">
        <v>125</v>
      </c>
      <c r="B30" s="109" t="s">
        <v>44</v>
      </c>
      <c r="C30" s="122" t="s">
        <v>126</v>
      </c>
      <c r="D30" s="380" t="s">
        <v>127</v>
      </c>
      <c r="E30" s="122" t="s">
        <v>128</v>
      </c>
      <c r="F30" s="273">
        <v>0</v>
      </c>
      <c r="G30" s="122" t="s">
        <v>69</v>
      </c>
      <c r="H30" s="381">
        <v>0</v>
      </c>
      <c r="I30" s="100"/>
      <c r="J30" s="86"/>
      <c r="K30" s="100"/>
    </row>
    <row r="31" s="107" customFormat="1" ht="30" customHeight="1" spans="1:11">
      <c r="A31" s="311" t="s">
        <v>129</v>
      </c>
      <c r="B31" s="109" t="s">
        <v>49</v>
      </c>
      <c r="C31" s="122" t="s">
        <v>130</v>
      </c>
      <c r="D31" s="284" t="s">
        <v>131</v>
      </c>
      <c r="E31" s="122" t="s">
        <v>132</v>
      </c>
      <c r="F31" s="273">
        <v>1</v>
      </c>
      <c r="G31" s="122" t="s">
        <v>65</v>
      </c>
      <c r="H31" s="72">
        <v>3827</v>
      </c>
      <c r="I31" s="100"/>
      <c r="J31" s="100"/>
      <c r="K31" s="110"/>
    </row>
    <row r="32" s="107" customFormat="1" ht="30" customHeight="1" spans="1:11">
      <c r="A32" s="311" t="s">
        <v>129</v>
      </c>
      <c r="B32" s="109" t="s">
        <v>49</v>
      </c>
      <c r="C32" s="385" t="s">
        <v>133</v>
      </c>
      <c r="D32" s="284" t="s">
        <v>134</v>
      </c>
      <c r="E32" s="273" t="s">
        <v>132</v>
      </c>
      <c r="F32" s="273">
        <v>1</v>
      </c>
      <c r="G32" s="273" t="s">
        <v>65</v>
      </c>
      <c r="H32" s="72">
        <v>45920</v>
      </c>
      <c r="I32" s="100"/>
      <c r="J32" s="100"/>
      <c r="K32" s="110"/>
    </row>
    <row r="33" s="107" customFormat="1" ht="30" customHeight="1" spans="1:11">
      <c r="A33" s="311" t="s">
        <v>129</v>
      </c>
      <c r="B33" s="109" t="s">
        <v>49</v>
      </c>
      <c r="C33" s="385" t="s">
        <v>135</v>
      </c>
      <c r="D33" s="284" t="s">
        <v>136</v>
      </c>
      <c r="E33" s="273" t="s">
        <v>132</v>
      </c>
      <c r="F33" s="273">
        <v>1</v>
      </c>
      <c r="G33" s="273" t="s">
        <v>65</v>
      </c>
      <c r="H33" s="72">
        <v>86338</v>
      </c>
      <c r="I33" s="100"/>
      <c r="J33" s="100"/>
      <c r="K33" s="110"/>
    </row>
    <row r="34" s="107" customFormat="1" ht="30" customHeight="1" spans="1:11">
      <c r="A34" s="311" t="s">
        <v>129</v>
      </c>
      <c r="B34" s="109" t="s">
        <v>49</v>
      </c>
      <c r="C34" s="385" t="s">
        <v>137</v>
      </c>
      <c r="D34" s="284" t="s">
        <v>138</v>
      </c>
      <c r="E34" s="273" t="s">
        <v>132</v>
      </c>
      <c r="F34" s="273">
        <v>1</v>
      </c>
      <c r="G34" s="273" t="s">
        <v>65</v>
      </c>
      <c r="H34" s="72">
        <v>125370</v>
      </c>
      <c r="I34" s="100"/>
      <c r="J34" s="100"/>
      <c r="K34" s="110"/>
    </row>
    <row r="35" s="107" customFormat="1" ht="30" customHeight="1" spans="1:11">
      <c r="A35" s="311" t="s">
        <v>129</v>
      </c>
      <c r="B35" s="109" t="s">
        <v>49</v>
      </c>
      <c r="C35" s="385" t="s">
        <v>139</v>
      </c>
      <c r="D35" s="284" t="s">
        <v>140</v>
      </c>
      <c r="E35" s="273" t="s">
        <v>132</v>
      </c>
      <c r="F35" s="273">
        <v>1</v>
      </c>
      <c r="G35" s="273" t="s">
        <v>65</v>
      </c>
      <c r="H35" s="72">
        <v>195174</v>
      </c>
      <c r="I35" s="100"/>
      <c r="J35" s="100"/>
      <c r="K35" s="110"/>
    </row>
    <row r="36" s="107" customFormat="1" ht="30" customHeight="1" spans="1:11">
      <c r="A36" s="311" t="s">
        <v>129</v>
      </c>
      <c r="B36" s="109" t="s">
        <v>49</v>
      </c>
      <c r="C36" s="385" t="s">
        <v>141</v>
      </c>
      <c r="D36" s="284" t="s">
        <v>142</v>
      </c>
      <c r="E36" s="273" t="s">
        <v>132</v>
      </c>
      <c r="F36" s="273">
        <v>0</v>
      </c>
      <c r="G36" s="273" t="s">
        <v>69</v>
      </c>
      <c r="H36" s="72" t="s">
        <v>143</v>
      </c>
      <c r="I36" s="100"/>
      <c r="J36" s="100"/>
      <c r="K36" s="110"/>
    </row>
    <row r="37" s="107" customFormat="1" ht="30" customHeight="1" spans="1:11">
      <c r="A37" s="311" t="s">
        <v>129</v>
      </c>
      <c r="B37" s="109" t="s">
        <v>49</v>
      </c>
      <c r="C37" s="385" t="s">
        <v>144</v>
      </c>
      <c r="D37" s="284" t="s">
        <v>145</v>
      </c>
      <c r="E37" s="273" t="s">
        <v>132</v>
      </c>
      <c r="F37" s="273">
        <v>0</v>
      </c>
      <c r="G37" s="273" t="s">
        <v>69</v>
      </c>
      <c r="H37" s="72" t="s">
        <v>143</v>
      </c>
      <c r="I37" s="100"/>
      <c r="J37" s="100"/>
      <c r="K37" s="110"/>
    </row>
    <row r="38" s="107" customFormat="1" ht="30" customHeight="1" spans="1:11">
      <c r="A38" s="311" t="s">
        <v>129</v>
      </c>
      <c r="B38" s="109" t="s">
        <v>49</v>
      </c>
      <c r="C38" s="117" t="s">
        <v>146</v>
      </c>
      <c r="D38" s="284" t="s">
        <v>147</v>
      </c>
      <c r="E38" s="122" t="s">
        <v>132</v>
      </c>
      <c r="F38" s="273">
        <v>1</v>
      </c>
      <c r="G38" s="122" t="s">
        <v>65</v>
      </c>
      <c r="H38" s="72">
        <v>5566</v>
      </c>
      <c r="I38" s="100"/>
      <c r="J38" s="100"/>
      <c r="K38" s="110"/>
    </row>
    <row r="39" s="107" customFormat="1" ht="30" customHeight="1" spans="1:11">
      <c r="A39" s="311" t="s">
        <v>129</v>
      </c>
      <c r="B39" s="109" t="s">
        <v>49</v>
      </c>
      <c r="C39" s="385" t="s">
        <v>148</v>
      </c>
      <c r="D39" s="284" t="s">
        <v>149</v>
      </c>
      <c r="E39" s="273" t="s">
        <v>132</v>
      </c>
      <c r="F39" s="273">
        <v>1</v>
      </c>
      <c r="G39" s="273" t="s">
        <v>65</v>
      </c>
      <c r="H39" s="72">
        <v>66794</v>
      </c>
      <c r="I39" s="100"/>
      <c r="J39" s="100"/>
      <c r="K39" s="110"/>
    </row>
    <row r="40" ht="30" customHeight="1" spans="1:11">
      <c r="A40" s="311" t="s">
        <v>129</v>
      </c>
      <c r="B40" s="109" t="s">
        <v>49</v>
      </c>
      <c r="C40" s="385" t="s">
        <v>150</v>
      </c>
      <c r="D40" s="284" t="s">
        <v>151</v>
      </c>
      <c r="E40" s="273" t="s">
        <v>132</v>
      </c>
      <c r="F40" s="273">
        <v>1</v>
      </c>
      <c r="G40" s="273" t="s">
        <v>65</v>
      </c>
      <c r="H40" s="72">
        <v>125580</v>
      </c>
      <c r="I40" s="100"/>
      <c r="J40" s="100"/>
      <c r="K40" s="110"/>
    </row>
    <row r="41" ht="30" customHeight="1" spans="1:11">
      <c r="A41" s="311" t="s">
        <v>129</v>
      </c>
      <c r="B41" s="109" t="s">
        <v>49</v>
      </c>
      <c r="C41" s="117" t="s">
        <v>152</v>
      </c>
      <c r="D41" s="284" t="s">
        <v>153</v>
      </c>
      <c r="E41" s="122" t="s">
        <v>132</v>
      </c>
      <c r="F41" s="273">
        <v>0</v>
      </c>
      <c r="G41" s="122" t="s">
        <v>65</v>
      </c>
      <c r="H41" s="72">
        <v>182350</v>
      </c>
      <c r="I41" s="100"/>
      <c r="J41" s="100"/>
      <c r="K41" s="110"/>
    </row>
    <row r="42" ht="30" customHeight="1" spans="1:11">
      <c r="A42" s="311" t="s">
        <v>129</v>
      </c>
      <c r="B42" s="109" t="s">
        <v>49</v>
      </c>
      <c r="C42" s="117" t="s">
        <v>154</v>
      </c>
      <c r="D42" s="284" t="s">
        <v>155</v>
      </c>
      <c r="E42" s="122" t="s">
        <v>132</v>
      </c>
      <c r="F42" s="273">
        <v>0</v>
      </c>
      <c r="G42" s="122" t="s">
        <v>65</v>
      </c>
      <c r="H42" s="72">
        <v>283892</v>
      </c>
      <c r="I42" s="100"/>
      <c r="J42" s="100"/>
      <c r="K42" s="110"/>
    </row>
    <row r="43" ht="30" customHeight="1" spans="1:11">
      <c r="A43" s="311" t="s">
        <v>129</v>
      </c>
      <c r="B43" s="109" t="s">
        <v>49</v>
      </c>
      <c r="C43" s="385" t="s">
        <v>156</v>
      </c>
      <c r="D43" s="284" t="s">
        <v>157</v>
      </c>
      <c r="E43" s="273" t="s">
        <v>132</v>
      </c>
      <c r="F43" s="273">
        <v>0</v>
      </c>
      <c r="G43" s="273" t="s">
        <v>69</v>
      </c>
      <c r="H43" s="72" t="s">
        <v>143</v>
      </c>
      <c r="I43" s="100"/>
      <c r="J43" s="100"/>
      <c r="K43" s="110"/>
    </row>
    <row r="44" ht="30" customHeight="1" spans="1:11">
      <c r="A44" s="311" t="s">
        <v>129</v>
      </c>
      <c r="B44" s="109" t="s">
        <v>49</v>
      </c>
      <c r="C44" s="385" t="s">
        <v>158</v>
      </c>
      <c r="D44" s="284" t="s">
        <v>159</v>
      </c>
      <c r="E44" s="273" t="s">
        <v>132</v>
      </c>
      <c r="F44" s="273">
        <v>0</v>
      </c>
      <c r="G44" s="273" t="s">
        <v>69</v>
      </c>
      <c r="H44" s="72" t="s">
        <v>143</v>
      </c>
      <c r="I44" s="100"/>
      <c r="J44" s="100"/>
      <c r="K44" s="110"/>
    </row>
    <row r="45" ht="45" customHeight="1" spans="1:11">
      <c r="A45" s="311" t="s">
        <v>129</v>
      </c>
      <c r="B45" s="109" t="s">
        <v>49</v>
      </c>
      <c r="C45" s="117" t="s">
        <v>160</v>
      </c>
      <c r="D45" s="284" t="s">
        <v>161</v>
      </c>
      <c r="E45" s="122" t="s">
        <v>132</v>
      </c>
      <c r="F45" s="273">
        <v>1</v>
      </c>
      <c r="G45" s="122" t="s">
        <v>65</v>
      </c>
      <c r="H45" s="72">
        <v>6378</v>
      </c>
      <c r="I45" s="100"/>
      <c r="J45" s="100"/>
      <c r="K45" s="110"/>
    </row>
    <row r="46" ht="30" customHeight="1" spans="1:11">
      <c r="A46" s="311" t="s">
        <v>129</v>
      </c>
      <c r="B46" s="109" t="s">
        <v>49</v>
      </c>
      <c r="C46" s="385" t="s">
        <v>162</v>
      </c>
      <c r="D46" s="284" t="s">
        <v>163</v>
      </c>
      <c r="E46" s="273" t="s">
        <v>132</v>
      </c>
      <c r="F46" s="273">
        <v>1</v>
      </c>
      <c r="G46" s="273" t="s">
        <v>65</v>
      </c>
      <c r="H46" s="72">
        <v>76538</v>
      </c>
      <c r="I46" s="100"/>
      <c r="J46" s="100"/>
      <c r="K46" s="110"/>
    </row>
    <row r="47" ht="30" customHeight="1" spans="1:11">
      <c r="A47" s="311" t="s">
        <v>129</v>
      </c>
      <c r="B47" s="109" t="s">
        <v>49</v>
      </c>
      <c r="C47" s="385" t="s">
        <v>164</v>
      </c>
      <c r="D47" s="284" t="s">
        <v>165</v>
      </c>
      <c r="E47" s="273" t="s">
        <v>132</v>
      </c>
      <c r="F47" s="273">
        <v>1</v>
      </c>
      <c r="G47" s="273" t="s">
        <v>65</v>
      </c>
      <c r="H47" s="72">
        <v>143892</v>
      </c>
      <c r="I47" s="100"/>
      <c r="J47" s="100"/>
      <c r="K47" s="110"/>
    </row>
    <row r="48" ht="30" customHeight="1" spans="1:11">
      <c r="A48" s="311" t="s">
        <v>129</v>
      </c>
      <c r="B48" s="109" t="s">
        <v>49</v>
      </c>
      <c r="C48" s="385" t="s">
        <v>166</v>
      </c>
      <c r="D48" s="284" t="s">
        <v>167</v>
      </c>
      <c r="E48" s="273" t="s">
        <v>132</v>
      </c>
      <c r="F48" s="273">
        <v>1</v>
      </c>
      <c r="G48" s="273" t="s">
        <v>65</v>
      </c>
      <c r="H48" s="72">
        <v>208950</v>
      </c>
      <c r="I48" s="100"/>
      <c r="J48" s="100"/>
      <c r="K48" s="110"/>
    </row>
    <row r="49" ht="30" customHeight="1" spans="1:11">
      <c r="A49" s="311" t="s">
        <v>129</v>
      </c>
      <c r="B49" s="109" t="s">
        <v>49</v>
      </c>
      <c r="C49" s="385" t="s">
        <v>168</v>
      </c>
      <c r="D49" s="284" t="s">
        <v>169</v>
      </c>
      <c r="E49" s="273" t="s">
        <v>132</v>
      </c>
      <c r="F49" s="273">
        <v>1</v>
      </c>
      <c r="G49" s="273" t="s">
        <v>65</v>
      </c>
      <c r="H49" s="72">
        <v>325290</v>
      </c>
      <c r="I49" s="100"/>
      <c r="J49" s="100"/>
      <c r="K49" s="110"/>
    </row>
    <row r="50" ht="30" customHeight="1" spans="1:11">
      <c r="A50" s="311" t="s">
        <v>129</v>
      </c>
      <c r="B50" s="109" t="s">
        <v>49</v>
      </c>
      <c r="C50" s="385" t="s">
        <v>170</v>
      </c>
      <c r="D50" s="284" t="s">
        <v>171</v>
      </c>
      <c r="E50" s="273" t="s">
        <v>132</v>
      </c>
      <c r="F50" s="273">
        <v>0</v>
      </c>
      <c r="G50" s="273" t="s">
        <v>69</v>
      </c>
      <c r="H50" s="72" t="s">
        <v>143</v>
      </c>
      <c r="I50" s="100"/>
      <c r="J50" s="100"/>
      <c r="K50" s="110"/>
    </row>
    <row r="51" ht="30" customHeight="1" spans="1:11">
      <c r="A51" s="311" t="s">
        <v>129</v>
      </c>
      <c r="B51" s="109" t="s">
        <v>49</v>
      </c>
      <c r="C51" s="385" t="s">
        <v>172</v>
      </c>
      <c r="D51" s="284" t="s">
        <v>173</v>
      </c>
      <c r="E51" s="273" t="s">
        <v>132</v>
      </c>
      <c r="F51" s="273">
        <v>0</v>
      </c>
      <c r="G51" s="273" t="s">
        <v>69</v>
      </c>
      <c r="H51" s="72" t="s">
        <v>143</v>
      </c>
      <c r="I51" s="100"/>
      <c r="J51" s="100"/>
      <c r="K51" s="110"/>
    </row>
    <row r="52" ht="45" customHeight="1" spans="1:11">
      <c r="A52" s="311" t="s">
        <v>129</v>
      </c>
      <c r="B52" s="109" t="s">
        <v>49</v>
      </c>
      <c r="C52" s="117" t="s">
        <v>174</v>
      </c>
      <c r="D52" s="284" t="s">
        <v>175</v>
      </c>
      <c r="E52" s="122" t="s">
        <v>132</v>
      </c>
      <c r="F52" s="273">
        <v>1</v>
      </c>
      <c r="G52" s="122" t="s">
        <v>65</v>
      </c>
      <c r="H52" s="72">
        <v>9277</v>
      </c>
      <c r="I52" s="100"/>
      <c r="J52" s="100"/>
      <c r="K52" s="110"/>
    </row>
    <row r="53" ht="45" customHeight="1" spans="1:11">
      <c r="A53" s="311" t="s">
        <v>129</v>
      </c>
      <c r="B53" s="109" t="s">
        <v>49</v>
      </c>
      <c r="C53" s="117" t="s">
        <v>176</v>
      </c>
      <c r="D53" s="284" t="s">
        <v>177</v>
      </c>
      <c r="E53" s="122" t="s">
        <v>132</v>
      </c>
      <c r="F53" s="273">
        <v>0</v>
      </c>
      <c r="G53" s="122" t="s">
        <v>65</v>
      </c>
      <c r="H53" s="72">
        <v>111328</v>
      </c>
      <c r="I53" s="100"/>
      <c r="J53" s="100"/>
      <c r="K53" s="110"/>
    </row>
    <row r="54" ht="30" customHeight="1" spans="1:11">
      <c r="A54" s="311" t="s">
        <v>129</v>
      </c>
      <c r="B54" s="109" t="s">
        <v>49</v>
      </c>
      <c r="C54" s="385" t="s">
        <v>178</v>
      </c>
      <c r="D54" s="284" t="s">
        <v>179</v>
      </c>
      <c r="E54" s="273" t="s">
        <v>132</v>
      </c>
      <c r="F54" s="273">
        <v>1</v>
      </c>
      <c r="G54" s="273" t="s">
        <v>65</v>
      </c>
      <c r="H54" s="72">
        <v>209300</v>
      </c>
      <c r="I54" s="100"/>
      <c r="J54" s="100"/>
      <c r="K54" s="110"/>
    </row>
    <row r="55" ht="45" customHeight="1" spans="1:11">
      <c r="A55" s="311" t="s">
        <v>129</v>
      </c>
      <c r="B55" s="109" t="s">
        <v>49</v>
      </c>
      <c r="C55" s="117" t="s">
        <v>180</v>
      </c>
      <c r="D55" s="284" t="s">
        <v>181</v>
      </c>
      <c r="E55" s="122" t="s">
        <v>132</v>
      </c>
      <c r="F55" s="273">
        <v>0</v>
      </c>
      <c r="G55" s="122" t="s">
        <v>65</v>
      </c>
      <c r="H55" s="72">
        <v>303926</v>
      </c>
      <c r="I55" s="100"/>
      <c r="J55" s="100"/>
      <c r="K55" s="110"/>
    </row>
    <row r="56" ht="45" customHeight="1" spans="1:11">
      <c r="A56" s="311" t="s">
        <v>129</v>
      </c>
      <c r="B56" s="109" t="s">
        <v>49</v>
      </c>
      <c r="C56" s="117" t="s">
        <v>182</v>
      </c>
      <c r="D56" s="284" t="s">
        <v>183</v>
      </c>
      <c r="E56" s="122" t="s">
        <v>132</v>
      </c>
      <c r="F56" s="273">
        <v>0</v>
      </c>
      <c r="G56" s="122" t="s">
        <v>65</v>
      </c>
      <c r="H56" s="72">
        <v>473144</v>
      </c>
      <c r="I56" s="100"/>
      <c r="J56" s="100"/>
      <c r="K56" s="110"/>
    </row>
    <row r="57" ht="30" customHeight="1" spans="1:11">
      <c r="A57" s="386" t="s">
        <v>129</v>
      </c>
      <c r="B57" s="387" t="s">
        <v>49</v>
      </c>
      <c r="C57" s="388" t="s">
        <v>184</v>
      </c>
      <c r="D57" s="331" t="s">
        <v>185</v>
      </c>
      <c r="E57" s="389" t="s">
        <v>132</v>
      </c>
      <c r="F57" s="389">
        <v>0</v>
      </c>
      <c r="G57" s="389" t="s">
        <v>69</v>
      </c>
      <c r="H57" s="390" t="s">
        <v>143</v>
      </c>
      <c r="I57" s="391"/>
      <c r="J57" s="391"/>
      <c r="K57" s="392"/>
    </row>
    <row r="58" ht="30" customHeight="1" spans="1:11">
      <c r="A58" s="311" t="s">
        <v>129</v>
      </c>
      <c r="B58" s="109" t="s">
        <v>49</v>
      </c>
      <c r="C58" s="261" t="s">
        <v>186</v>
      </c>
      <c r="D58" s="284" t="s">
        <v>187</v>
      </c>
      <c r="E58" s="273" t="s">
        <v>132</v>
      </c>
      <c r="F58" s="273">
        <v>0</v>
      </c>
      <c r="G58" s="273" t="s">
        <v>69</v>
      </c>
      <c r="H58" s="72" t="s">
        <v>143</v>
      </c>
      <c r="I58" s="100"/>
      <c r="J58" s="100"/>
      <c r="K58" s="110"/>
    </row>
    <row r="59" spans="1:11">
      <c r="A59" s="108"/>
      <c r="B59" s="108"/>
      <c r="C59" s="108"/>
      <c r="D59" s="108"/>
      <c r="E59" s="108"/>
      <c r="F59" s="108"/>
      <c r="G59" s="108"/>
      <c r="H59" s="108"/>
      <c r="I59" s="108"/>
      <c r="J59" s="108"/>
    </row>
    <row r="60" spans="1:11">
      <c r="A60" s="108"/>
      <c r="B60" s="108"/>
      <c r="C60" s="108"/>
      <c r="D60" s="108"/>
      <c r="E60" s="108"/>
      <c r="F60" s="108"/>
      <c r="G60" s="108"/>
      <c r="H60" s="108"/>
      <c r="I60" s="108"/>
      <c r="J60" s="108"/>
    </row>
    <row r="61" spans="1:11">
      <c r="A61" s="108"/>
      <c r="B61" s="108"/>
      <c r="C61" s="108"/>
      <c r="D61" s="108"/>
      <c r="E61" s="108"/>
      <c r="F61" s="108"/>
      <c r="G61" s="108"/>
      <c r="H61" s="108"/>
      <c r="I61" s="108"/>
      <c r="J61" s="108"/>
    </row>
    <row r="62" spans="1:11">
      <c r="A62" s="108"/>
      <c r="B62" s="108"/>
      <c r="C62" s="108"/>
      <c r="E62" s="108"/>
      <c r="F62" s="108"/>
      <c r="G62" s="108"/>
      <c r="H62" s="108"/>
      <c r="I62" s="108"/>
      <c r="J62" s="108"/>
    </row>
    <row r="63" spans="1:11">
      <c r="A63" s="108"/>
      <c r="B63" s="108"/>
      <c r="C63" s="108"/>
      <c r="D63" s="108"/>
      <c r="E63" s="108"/>
      <c r="F63" s="108"/>
      <c r="G63" s="108"/>
      <c r="H63" s="108"/>
      <c r="I63" s="108"/>
      <c r="J63" s="108"/>
    </row>
    <row r="64" spans="1:11">
      <c r="A64" s="108"/>
      <c r="B64" s="108"/>
      <c r="C64" s="108"/>
      <c r="D64" s="108"/>
      <c r="E64" s="108"/>
      <c r="F64" s="108"/>
      <c r="G64" s="108"/>
      <c r="H64" s="108"/>
      <c r="I64" s="108"/>
      <c r="J64" s="108"/>
    </row>
    <row r="65" s="108" customFormat="1"/>
    <row r="66" s="108" customFormat="1"/>
    <row r="67" s="108" customFormat="1"/>
    <row r="68" s="108" customFormat="1"/>
    <row r="69" s="108" customFormat="1"/>
    <row r="70" s="108" customFormat="1"/>
    <row r="71" s="108" customFormat="1"/>
    <row r="72" s="108" customFormat="1"/>
    <row r="73" s="108" customFormat="1"/>
    <row r="74" s="108" customFormat="1"/>
    <row r="75" s="108" customFormat="1"/>
    <row r="76" s="108" customFormat="1"/>
    <row r="77" s="108" customFormat="1"/>
    <row r="78" s="108" customFormat="1"/>
    <row r="81" s="108" customFormat="1"/>
  </sheetData>
  <autoFilter xmlns:etc="http://www.wps.cn/officeDocument/2017/etCustomData" ref="A1:J7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L1" sqref="L$1:M$1048576"/>
    </sheetView>
  </sheetViews>
  <sheetFormatPr defaultColWidth="9.16814159292035" defaultRowHeight="13.85"/>
  <cols>
    <col min="1" max="1" width="24.1681415929204" style="107" customWidth="1"/>
    <col min="2" max="2" width="17.1681415929204" style="106" customWidth="1"/>
    <col min="3" max="3" width="21.1681415929204" style="106" customWidth="1"/>
    <col min="4" max="4" width="80.6637168141593" style="107" customWidth="1"/>
    <col min="5" max="5" width="8" style="106" customWidth="1"/>
    <col min="6" max="6" width="8" style="375" customWidth="1"/>
    <col min="7" max="8" width="9.66371681415929" style="106" customWidth="1"/>
    <col min="9" max="10" width="16" style="106" customWidth="1"/>
    <col min="11" max="253" width="9.16814159292035" style="108" customWidth="1"/>
    <col min="254" max="254" width="25.1681415929204" style="108" customWidth="1"/>
    <col min="255" max="255" width="18.6637168141593" style="108" customWidth="1"/>
    <col min="256" max="256" width="55.1681415929204" style="108" customWidth="1"/>
    <col min="257" max="258" width="8.16814159292035" style="108" customWidth="1"/>
    <col min="259" max="259" width="10.1681415929204" style="108" customWidth="1"/>
    <col min="260" max="260" width="11.6637168141593" style="108" customWidth="1"/>
    <col min="261" max="261" width="12" style="108" customWidth="1"/>
    <col min="262" max="262" width="16.6637168141593" style="108" customWidth="1"/>
    <col min="263" max="263" width="8" style="108" customWidth="1"/>
    <col min="264" max="509" width="9.16814159292035" style="108" customWidth="1"/>
    <col min="510" max="510" width="25.1681415929204" style="108" customWidth="1"/>
    <col min="511" max="511" width="18.6637168141593" style="108" customWidth="1"/>
    <col min="512" max="512" width="55.1681415929204" style="108" customWidth="1"/>
    <col min="513" max="514" width="8.16814159292035" style="108" customWidth="1"/>
    <col min="515" max="515" width="10.1681415929204" style="108" customWidth="1"/>
    <col min="516" max="516" width="11.6637168141593" style="108" customWidth="1"/>
    <col min="517" max="517" width="12" style="108" customWidth="1"/>
    <col min="518" max="518" width="16.6637168141593" style="108" customWidth="1"/>
    <col min="519" max="519" width="8" style="108" customWidth="1"/>
    <col min="520" max="765" width="9.16814159292035" style="108" customWidth="1"/>
    <col min="766" max="766" width="25.1681415929204" style="108" customWidth="1"/>
    <col min="767" max="767" width="18.6637168141593" style="108" customWidth="1"/>
    <col min="768" max="768" width="55.1681415929204" style="108" customWidth="1"/>
    <col min="769" max="770" width="8.16814159292035" style="108" customWidth="1"/>
    <col min="771" max="771" width="10.1681415929204" style="108" customWidth="1"/>
    <col min="772" max="772" width="11.6637168141593" style="108" customWidth="1"/>
    <col min="773" max="773" width="12" style="108" customWidth="1"/>
    <col min="774" max="774" width="16.6637168141593" style="108" customWidth="1"/>
    <col min="775" max="775" width="8" style="108" customWidth="1"/>
    <col min="776" max="1021" width="9.16814159292035" style="108" customWidth="1"/>
    <col min="1022" max="1022" width="25.1681415929204" style="108" customWidth="1"/>
    <col min="1023" max="1023" width="18.6637168141593" style="108" customWidth="1"/>
    <col min="1024" max="1024" width="55.1681415929204" style="108" customWidth="1"/>
    <col min="1025" max="1026" width="8.16814159292035" style="108" customWidth="1"/>
    <col min="1027" max="1027" width="10.1681415929204" style="108" customWidth="1"/>
    <col min="1028" max="1028" width="11.6637168141593" style="108" customWidth="1"/>
    <col min="1029" max="1029" width="12" style="108" customWidth="1"/>
    <col min="1030" max="1030" width="16.6637168141593" style="108" customWidth="1"/>
    <col min="1031" max="1031" width="8" style="108" customWidth="1"/>
    <col min="1032" max="1277" width="9.16814159292035" style="108" customWidth="1"/>
    <col min="1278" max="1278" width="25.1681415929204" style="108" customWidth="1"/>
    <col min="1279" max="1279" width="18.6637168141593" style="108" customWidth="1"/>
    <col min="1280" max="1280" width="55.1681415929204" style="108" customWidth="1"/>
    <col min="1281" max="1282" width="8.16814159292035" style="108" customWidth="1"/>
    <col min="1283" max="1283" width="10.1681415929204" style="108" customWidth="1"/>
    <col min="1284" max="1284" width="11.6637168141593" style="108" customWidth="1"/>
    <col min="1285" max="1285" width="12" style="108" customWidth="1"/>
    <col min="1286" max="1286" width="16.6637168141593" style="108" customWidth="1"/>
    <col min="1287" max="1287" width="8" style="108" customWidth="1"/>
    <col min="1288" max="1533" width="9.16814159292035" style="108" customWidth="1"/>
    <col min="1534" max="1534" width="25.1681415929204" style="108" customWidth="1"/>
    <col min="1535" max="1535" width="18.6637168141593" style="108" customWidth="1"/>
    <col min="1536" max="1536" width="55.1681415929204" style="108" customWidth="1"/>
    <col min="1537" max="1538" width="8.16814159292035" style="108" customWidth="1"/>
    <col min="1539" max="1539" width="10.1681415929204" style="108" customWidth="1"/>
    <col min="1540" max="1540" width="11.6637168141593" style="108" customWidth="1"/>
    <col min="1541" max="1541" width="12" style="108" customWidth="1"/>
    <col min="1542" max="1542" width="16.6637168141593" style="108" customWidth="1"/>
    <col min="1543" max="1543" width="8" style="108" customWidth="1"/>
    <col min="1544" max="1789" width="9.16814159292035" style="108" customWidth="1"/>
    <col min="1790" max="1790" width="25.1681415929204" style="108" customWidth="1"/>
    <col min="1791" max="1791" width="18.6637168141593" style="108" customWidth="1"/>
    <col min="1792" max="1792" width="55.1681415929204" style="108" customWidth="1"/>
    <col min="1793" max="1794" width="8.16814159292035" style="108" customWidth="1"/>
    <col min="1795" max="1795" width="10.1681415929204" style="108" customWidth="1"/>
    <col min="1796" max="1796" width="11.6637168141593" style="108" customWidth="1"/>
    <col min="1797" max="1797" width="12" style="108" customWidth="1"/>
    <col min="1798" max="1798" width="16.6637168141593" style="108" customWidth="1"/>
    <col min="1799" max="1799" width="8" style="108" customWidth="1"/>
    <col min="1800" max="2045" width="9.16814159292035" style="108" customWidth="1"/>
    <col min="2046" max="2046" width="25.1681415929204" style="108" customWidth="1"/>
    <col min="2047" max="2047" width="18.6637168141593" style="108" customWidth="1"/>
    <col min="2048" max="2048" width="55.1681415929204" style="108" customWidth="1"/>
    <col min="2049" max="2050" width="8.16814159292035" style="108" customWidth="1"/>
    <col min="2051" max="2051" width="10.1681415929204" style="108" customWidth="1"/>
    <col min="2052" max="2052" width="11.6637168141593" style="108" customWidth="1"/>
    <col min="2053" max="2053" width="12" style="108" customWidth="1"/>
    <col min="2054" max="2054" width="16.6637168141593" style="108" customWidth="1"/>
    <col min="2055" max="2055" width="8" style="108" customWidth="1"/>
    <col min="2056" max="2301" width="9.16814159292035" style="108" customWidth="1"/>
    <col min="2302" max="2302" width="25.1681415929204" style="108" customWidth="1"/>
    <col min="2303" max="2303" width="18.6637168141593" style="108" customWidth="1"/>
    <col min="2304" max="2304" width="55.1681415929204" style="108" customWidth="1"/>
    <col min="2305" max="2306" width="8.16814159292035" style="108" customWidth="1"/>
    <col min="2307" max="2307" width="10.1681415929204" style="108" customWidth="1"/>
    <col min="2308" max="2308" width="11.6637168141593" style="108" customWidth="1"/>
    <col min="2309" max="2309" width="12" style="108" customWidth="1"/>
    <col min="2310" max="2310" width="16.6637168141593" style="108" customWidth="1"/>
    <col min="2311" max="2311" width="8" style="108" customWidth="1"/>
    <col min="2312" max="2557" width="9.16814159292035" style="108" customWidth="1"/>
    <col min="2558" max="2558" width="25.1681415929204" style="108" customWidth="1"/>
    <col min="2559" max="2559" width="18.6637168141593" style="108" customWidth="1"/>
    <col min="2560" max="2560" width="55.1681415929204" style="108" customWidth="1"/>
    <col min="2561" max="2562" width="8.16814159292035" style="108" customWidth="1"/>
    <col min="2563" max="2563" width="10.1681415929204" style="108" customWidth="1"/>
    <col min="2564" max="2564" width="11.6637168141593" style="108" customWidth="1"/>
    <col min="2565" max="2565" width="12" style="108" customWidth="1"/>
    <col min="2566" max="2566" width="16.6637168141593" style="108" customWidth="1"/>
    <col min="2567" max="2567" width="8" style="108" customWidth="1"/>
    <col min="2568" max="2813" width="9.16814159292035" style="108" customWidth="1"/>
    <col min="2814" max="2814" width="25.1681415929204" style="108" customWidth="1"/>
    <col min="2815" max="2815" width="18.6637168141593" style="108" customWidth="1"/>
    <col min="2816" max="2816" width="55.1681415929204" style="108" customWidth="1"/>
    <col min="2817" max="2818" width="8.16814159292035" style="108" customWidth="1"/>
    <col min="2819" max="2819" width="10.1681415929204" style="108" customWidth="1"/>
    <col min="2820" max="2820" width="11.6637168141593" style="108" customWidth="1"/>
    <col min="2821" max="2821" width="12" style="108" customWidth="1"/>
    <col min="2822" max="2822" width="16.6637168141593" style="108" customWidth="1"/>
    <col min="2823" max="2823" width="8" style="108" customWidth="1"/>
    <col min="2824" max="3069" width="9.16814159292035" style="108" customWidth="1"/>
    <col min="3070" max="3070" width="25.1681415929204" style="108" customWidth="1"/>
    <col min="3071" max="3071" width="18.6637168141593" style="108" customWidth="1"/>
    <col min="3072" max="3072" width="55.1681415929204" style="108" customWidth="1"/>
    <col min="3073" max="3074" width="8.16814159292035" style="108" customWidth="1"/>
    <col min="3075" max="3075" width="10.1681415929204" style="108" customWidth="1"/>
    <col min="3076" max="3076" width="11.6637168141593" style="108" customWidth="1"/>
    <col min="3077" max="3077" width="12" style="108" customWidth="1"/>
    <col min="3078" max="3078" width="16.6637168141593" style="108" customWidth="1"/>
    <col min="3079" max="3079" width="8" style="108" customWidth="1"/>
    <col min="3080" max="3325" width="9.16814159292035" style="108" customWidth="1"/>
    <col min="3326" max="3326" width="25.1681415929204" style="108" customWidth="1"/>
    <col min="3327" max="3327" width="18.6637168141593" style="108" customWidth="1"/>
    <col min="3328" max="3328" width="55.1681415929204" style="108" customWidth="1"/>
    <col min="3329" max="3330" width="8.16814159292035" style="108" customWidth="1"/>
    <col min="3331" max="3331" width="10.1681415929204" style="108" customWidth="1"/>
    <col min="3332" max="3332" width="11.6637168141593" style="108" customWidth="1"/>
    <col min="3333" max="3333" width="12" style="108" customWidth="1"/>
    <col min="3334" max="3334" width="16.6637168141593" style="108" customWidth="1"/>
    <col min="3335" max="3335" width="8" style="108" customWidth="1"/>
    <col min="3336" max="3581" width="9.16814159292035" style="108" customWidth="1"/>
    <col min="3582" max="3582" width="25.1681415929204" style="108" customWidth="1"/>
    <col min="3583" max="3583" width="18.6637168141593" style="108" customWidth="1"/>
    <col min="3584" max="3584" width="55.1681415929204" style="108" customWidth="1"/>
    <col min="3585" max="3586" width="8.16814159292035" style="108" customWidth="1"/>
    <col min="3587" max="3587" width="10.1681415929204" style="108" customWidth="1"/>
    <col min="3588" max="3588" width="11.6637168141593" style="108" customWidth="1"/>
    <col min="3589" max="3589" width="12" style="108" customWidth="1"/>
    <col min="3590" max="3590" width="16.6637168141593" style="108" customWidth="1"/>
    <col min="3591" max="3591" width="8" style="108" customWidth="1"/>
    <col min="3592" max="3837" width="9.16814159292035" style="108" customWidth="1"/>
    <col min="3838" max="3838" width="25.1681415929204" style="108" customWidth="1"/>
    <col min="3839" max="3839" width="18.6637168141593" style="108" customWidth="1"/>
    <col min="3840" max="3840" width="55.1681415929204" style="108" customWidth="1"/>
    <col min="3841" max="3842" width="8.16814159292035" style="108" customWidth="1"/>
    <col min="3843" max="3843" width="10.1681415929204" style="108" customWidth="1"/>
    <col min="3844" max="3844" width="11.6637168141593" style="108" customWidth="1"/>
    <col min="3845" max="3845" width="12" style="108" customWidth="1"/>
    <col min="3846" max="3846" width="16.6637168141593" style="108" customWidth="1"/>
    <col min="3847" max="3847" width="8" style="108" customWidth="1"/>
    <col min="3848" max="4093" width="9.16814159292035" style="108" customWidth="1"/>
    <col min="4094" max="4094" width="25.1681415929204" style="108" customWidth="1"/>
    <col min="4095" max="4095" width="18.6637168141593" style="108" customWidth="1"/>
    <col min="4096" max="4096" width="55.1681415929204" style="108" customWidth="1"/>
    <col min="4097" max="4098" width="8.16814159292035" style="108" customWidth="1"/>
    <col min="4099" max="4099" width="10.1681415929204" style="108" customWidth="1"/>
    <col min="4100" max="4100" width="11.6637168141593" style="108" customWidth="1"/>
    <col min="4101" max="4101" width="12" style="108" customWidth="1"/>
    <col min="4102" max="4102" width="16.6637168141593" style="108" customWidth="1"/>
    <col min="4103" max="4103" width="8" style="108" customWidth="1"/>
    <col min="4104" max="4349" width="9.16814159292035" style="108" customWidth="1"/>
    <col min="4350" max="4350" width="25.1681415929204" style="108" customWidth="1"/>
    <col min="4351" max="4351" width="18.6637168141593" style="108" customWidth="1"/>
    <col min="4352" max="4352" width="55.1681415929204" style="108" customWidth="1"/>
    <col min="4353" max="4354" width="8.16814159292035" style="108" customWidth="1"/>
    <col min="4355" max="4355" width="10.1681415929204" style="108" customWidth="1"/>
    <col min="4356" max="4356" width="11.6637168141593" style="108" customWidth="1"/>
    <col min="4357" max="4357" width="12" style="108" customWidth="1"/>
    <col min="4358" max="4358" width="16.6637168141593" style="108" customWidth="1"/>
    <col min="4359" max="4359" width="8" style="108" customWidth="1"/>
    <col min="4360" max="4605" width="9.16814159292035" style="108" customWidth="1"/>
    <col min="4606" max="4606" width="25.1681415929204" style="108" customWidth="1"/>
    <col min="4607" max="4607" width="18.6637168141593" style="108" customWidth="1"/>
    <col min="4608" max="4608" width="55.1681415929204" style="108" customWidth="1"/>
    <col min="4609" max="4610" width="8.16814159292035" style="108" customWidth="1"/>
    <col min="4611" max="4611" width="10.1681415929204" style="108" customWidth="1"/>
    <col min="4612" max="4612" width="11.6637168141593" style="108" customWidth="1"/>
    <col min="4613" max="4613" width="12" style="108" customWidth="1"/>
    <col min="4614" max="4614" width="16.6637168141593" style="108" customWidth="1"/>
    <col min="4615" max="4615" width="8" style="108" customWidth="1"/>
    <col min="4616" max="4861" width="9.16814159292035" style="108" customWidth="1"/>
    <col min="4862" max="4862" width="25.1681415929204" style="108" customWidth="1"/>
    <col min="4863" max="4863" width="18.6637168141593" style="108" customWidth="1"/>
    <col min="4864" max="4864" width="55.1681415929204" style="108" customWidth="1"/>
    <col min="4865" max="4866" width="8.16814159292035" style="108" customWidth="1"/>
    <col min="4867" max="4867" width="10.1681415929204" style="108" customWidth="1"/>
    <col min="4868" max="4868" width="11.6637168141593" style="108" customWidth="1"/>
    <col min="4869" max="4869" width="12" style="108" customWidth="1"/>
    <col min="4870" max="4870" width="16.6637168141593" style="108" customWidth="1"/>
    <col min="4871" max="4871" width="8" style="108" customWidth="1"/>
    <col min="4872" max="5117" width="9.16814159292035" style="108" customWidth="1"/>
    <col min="5118" max="5118" width="25.1681415929204" style="108" customWidth="1"/>
    <col min="5119" max="5119" width="18.6637168141593" style="108" customWidth="1"/>
    <col min="5120" max="5120" width="55.1681415929204" style="108" customWidth="1"/>
    <col min="5121" max="5122" width="8.16814159292035" style="108" customWidth="1"/>
    <col min="5123" max="5123" width="10.1681415929204" style="108" customWidth="1"/>
    <col min="5124" max="5124" width="11.6637168141593" style="108" customWidth="1"/>
    <col min="5125" max="5125" width="12" style="108" customWidth="1"/>
    <col min="5126" max="5126" width="16.6637168141593" style="108" customWidth="1"/>
    <col min="5127" max="5127" width="8" style="108" customWidth="1"/>
    <col min="5128" max="5373" width="9.16814159292035" style="108" customWidth="1"/>
    <col min="5374" max="5374" width="25.1681415929204" style="108" customWidth="1"/>
    <col min="5375" max="5375" width="18.6637168141593" style="108" customWidth="1"/>
    <col min="5376" max="5376" width="55.1681415929204" style="108" customWidth="1"/>
    <col min="5377" max="5378" width="8.16814159292035" style="108" customWidth="1"/>
    <col min="5379" max="5379" width="10.1681415929204" style="108" customWidth="1"/>
    <col min="5380" max="5380" width="11.6637168141593" style="108" customWidth="1"/>
    <col min="5381" max="5381" width="12" style="108" customWidth="1"/>
    <col min="5382" max="5382" width="16.6637168141593" style="108" customWidth="1"/>
    <col min="5383" max="5383" width="8" style="108" customWidth="1"/>
    <col min="5384" max="5629" width="9.16814159292035" style="108" customWidth="1"/>
    <col min="5630" max="5630" width="25.1681415929204" style="108" customWidth="1"/>
    <col min="5631" max="5631" width="18.6637168141593" style="108" customWidth="1"/>
    <col min="5632" max="5632" width="55.1681415929204" style="108" customWidth="1"/>
    <col min="5633" max="5634" width="8.16814159292035" style="108" customWidth="1"/>
    <col min="5635" max="5635" width="10.1681415929204" style="108" customWidth="1"/>
    <col min="5636" max="5636" width="11.6637168141593" style="108" customWidth="1"/>
    <col min="5637" max="5637" width="12" style="108" customWidth="1"/>
    <col min="5638" max="5638" width="16.6637168141593" style="108" customWidth="1"/>
    <col min="5639" max="5639" width="8" style="108" customWidth="1"/>
    <col min="5640" max="5885" width="9.16814159292035" style="108" customWidth="1"/>
    <col min="5886" max="5886" width="25.1681415929204" style="108" customWidth="1"/>
    <col min="5887" max="5887" width="18.6637168141593" style="108" customWidth="1"/>
    <col min="5888" max="5888" width="55.1681415929204" style="108" customWidth="1"/>
    <col min="5889" max="5890" width="8.16814159292035" style="108" customWidth="1"/>
    <col min="5891" max="5891" width="10.1681415929204" style="108" customWidth="1"/>
    <col min="5892" max="5892" width="11.6637168141593" style="108" customWidth="1"/>
    <col min="5893" max="5893" width="12" style="108" customWidth="1"/>
    <col min="5894" max="5894" width="16.6637168141593" style="108" customWidth="1"/>
    <col min="5895" max="5895" width="8" style="108" customWidth="1"/>
    <col min="5896" max="6141" width="9.16814159292035" style="108" customWidth="1"/>
    <col min="6142" max="6142" width="25.1681415929204" style="108" customWidth="1"/>
    <col min="6143" max="6143" width="18.6637168141593" style="108" customWidth="1"/>
    <col min="6144" max="6144" width="55.1681415929204" style="108" customWidth="1"/>
    <col min="6145" max="6146" width="8.16814159292035" style="108" customWidth="1"/>
    <col min="6147" max="6147" width="10.1681415929204" style="108" customWidth="1"/>
    <col min="6148" max="6148" width="11.6637168141593" style="108" customWidth="1"/>
    <col min="6149" max="6149" width="12" style="108" customWidth="1"/>
    <col min="6150" max="6150" width="16.6637168141593" style="108" customWidth="1"/>
    <col min="6151" max="6151" width="8" style="108" customWidth="1"/>
    <col min="6152" max="6397" width="9.16814159292035" style="108" customWidth="1"/>
    <col min="6398" max="6398" width="25.1681415929204" style="108" customWidth="1"/>
    <col min="6399" max="6399" width="18.6637168141593" style="108" customWidth="1"/>
    <col min="6400" max="6400" width="55.1681415929204" style="108" customWidth="1"/>
    <col min="6401" max="6402" width="8.16814159292035" style="108" customWidth="1"/>
    <col min="6403" max="6403" width="10.1681415929204" style="108" customWidth="1"/>
    <col min="6404" max="6404" width="11.6637168141593" style="108" customWidth="1"/>
    <col min="6405" max="6405" width="12" style="108" customWidth="1"/>
    <col min="6406" max="6406" width="16.6637168141593" style="108" customWidth="1"/>
    <col min="6407" max="6407" width="8" style="108" customWidth="1"/>
    <col min="6408" max="6653" width="9.16814159292035" style="108" customWidth="1"/>
    <col min="6654" max="6654" width="25.1681415929204" style="108" customWidth="1"/>
    <col min="6655" max="6655" width="18.6637168141593" style="108" customWidth="1"/>
    <col min="6656" max="6656" width="55.1681415929204" style="108" customWidth="1"/>
    <col min="6657" max="6658" width="8.16814159292035" style="108" customWidth="1"/>
    <col min="6659" max="6659" width="10.1681415929204" style="108" customWidth="1"/>
    <col min="6660" max="6660" width="11.6637168141593" style="108" customWidth="1"/>
    <col min="6661" max="6661" width="12" style="108" customWidth="1"/>
    <col min="6662" max="6662" width="16.6637168141593" style="108" customWidth="1"/>
    <col min="6663" max="6663" width="8" style="108" customWidth="1"/>
    <col min="6664" max="6909" width="9.16814159292035" style="108" customWidth="1"/>
    <col min="6910" max="6910" width="25.1681415929204" style="108" customWidth="1"/>
    <col min="6911" max="6911" width="18.6637168141593" style="108" customWidth="1"/>
    <col min="6912" max="6912" width="55.1681415929204" style="108" customWidth="1"/>
    <col min="6913" max="6914" width="8.16814159292035" style="108" customWidth="1"/>
    <col min="6915" max="6915" width="10.1681415929204" style="108" customWidth="1"/>
    <col min="6916" max="6916" width="11.6637168141593" style="108" customWidth="1"/>
    <col min="6917" max="6917" width="12" style="108" customWidth="1"/>
    <col min="6918" max="6918" width="16.6637168141593" style="108" customWidth="1"/>
    <col min="6919" max="6919" width="8" style="108" customWidth="1"/>
    <col min="6920" max="7165" width="9.16814159292035" style="108" customWidth="1"/>
    <col min="7166" max="7166" width="25.1681415929204" style="108" customWidth="1"/>
    <col min="7167" max="7167" width="18.6637168141593" style="108" customWidth="1"/>
    <col min="7168" max="7168" width="55.1681415929204" style="108" customWidth="1"/>
    <col min="7169" max="7170" width="8.16814159292035" style="108" customWidth="1"/>
    <col min="7171" max="7171" width="10.1681415929204" style="108" customWidth="1"/>
    <col min="7172" max="7172" width="11.6637168141593" style="108" customWidth="1"/>
    <col min="7173" max="7173" width="12" style="108" customWidth="1"/>
    <col min="7174" max="7174" width="16.6637168141593" style="108" customWidth="1"/>
    <col min="7175" max="7175" width="8" style="108" customWidth="1"/>
    <col min="7176" max="7421" width="9.16814159292035" style="108" customWidth="1"/>
    <col min="7422" max="7422" width="25.1681415929204" style="108" customWidth="1"/>
    <col min="7423" max="7423" width="18.6637168141593" style="108" customWidth="1"/>
    <col min="7424" max="7424" width="55.1681415929204" style="108" customWidth="1"/>
    <col min="7425" max="7426" width="8.16814159292035" style="108" customWidth="1"/>
    <col min="7427" max="7427" width="10.1681415929204" style="108" customWidth="1"/>
    <col min="7428" max="7428" width="11.6637168141593" style="108" customWidth="1"/>
    <col min="7429" max="7429" width="12" style="108" customWidth="1"/>
    <col min="7430" max="7430" width="16.6637168141593" style="108" customWidth="1"/>
    <col min="7431" max="7431" width="8" style="108" customWidth="1"/>
    <col min="7432" max="7677" width="9.16814159292035" style="108" customWidth="1"/>
    <col min="7678" max="7678" width="25.1681415929204" style="108" customWidth="1"/>
    <col min="7679" max="7679" width="18.6637168141593" style="108" customWidth="1"/>
    <col min="7680" max="7680" width="55.1681415929204" style="108" customWidth="1"/>
    <col min="7681" max="7682" width="8.16814159292035" style="108" customWidth="1"/>
    <col min="7683" max="7683" width="10.1681415929204" style="108" customWidth="1"/>
    <col min="7684" max="7684" width="11.6637168141593" style="108" customWidth="1"/>
    <col min="7685" max="7685" width="12" style="108" customWidth="1"/>
    <col min="7686" max="7686" width="16.6637168141593" style="108" customWidth="1"/>
    <col min="7687" max="7687" width="8" style="108" customWidth="1"/>
    <col min="7688" max="7933" width="9.16814159292035" style="108" customWidth="1"/>
    <col min="7934" max="7934" width="25.1681415929204" style="108" customWidth="1"/>
    <col min="7935" max="7935" width="18.6637168141593" style="108" customWidth="1"/>
    <col min="7936" max="7936" width="55.1681415929204" style="108" customWidth="1"/>
    <col min="7937" max="7938" width="8.16814159292035" style="108" customWidth="1"/>
    <col min="7939" max="7939" width="10.1681415929204" style="108" customWidth="1"/>
    <col min="7940" max="7940" width="11.6637168141593" style="108" customWidth="1"/>
    <col min="7941" max="7941" width="12" style="108" customWidth="1"/>
    <col min="7942" max="7942" width="16.6637168141593" style="108" customWidth="1"/>
    <col min="7943" max="7943" width="8" style="108" customWidth="1"/>
    <col min="7944" max="8189" width="9.16814159292035" style="108" customWidth="1"/>
    <col min="8190" max="8190" width="25.1681415929204" style="108" customWidth="1"/>
    <col min="8191" max="8191" width="18.6637168141593" style="108" customWidth="1"/>
    <col min="8192" max="8192" width="55.1681415929204" style="108" customWidth="1"/>
    <col min="8193" max="8194" width="8.16814159292035" style="108" customWidth="1"/>
    <col min="8195" max="8195" width="10.1681415929204" style="108" customWidth="1"/>
    <col min="8196" max="8196" width="11.6637168141593" style="108" customWidth="1"/>
    <col min="8197" max="8197" width="12" style="108" customWidth="1"/>
    <col min="8198" max="8198" width="16.6637168141593" style="108" customWidth="1"/>
    <col min="8199" max="8199" width="8" style="108" customWidth="1"/>
    <col min="8200" max="8445" width="9.16814159292035" style="108" customWidth="1"/>
    <col min="8446" max="8446" width="25.1681415929204" style="108" customWidth="1"/>
    <col min="8447" max="8447" width="18.6637168141593" style="108" customWidth="1"/>
    <col min="8448" max="8448" width="55.1681415929204" style="108" customWidth="1"/>
    <col min="8449" max="8450" width="8.16814159292035" style="108" customWidth="1"/>
    <col min="8451" max="8451" width="10.1681415929204" style="108" customWidth="1"/>
    <col min="8452" max="8452" width="11.6637168141593" style="108" customWidth="1"/>
    <col min="8453" max="8453" width="12" style="108" customWidth="1"/>
    <col min="8454" max="8454" width="16.6637168141593" style="108" customWidth="1"/>
    <col min="8455" max="8455" width="8" style="108" customWidth="1"/>
    <col min="8456" max="8701" width="9.16814159292035" style="108" customWidth="1"/>
    <col min="8702" max="8702" width="25.1681415929204" style="108" customWidth="1"/>
    <col min="8703" max="8703" width="18.6637168141593" style="108" customWidth="1"/>
    <col min="8704" max="8704" width="55.1681415929204" style="108" customWidth="1"/>
    <col min="8705" max="8706" width="8.16814159292035" style="108" customWidth="1"/>
    <col min="8707" max="8707" width="10.1681415929204" style="108" customWidth="1"/>
    <col min="8708" max="8708" width="11.6637168141593" style="108" customWidth="1"/>
    <col min="8709" max="8709" width="12" style="108" customWidth="1"/>
    <col min="8710" max="8710" width="16.6637168141593" style="108" customWidth="1"/>
    <col min="8711" max="8711" width="8" style="108" customWidth="1"/>
    <col min="8712" max="8957" width="9.16814159292035" style="108" customWidth="1"/>
    <col min="8958" max="8958" width="25.1681415929204" style="108" customWidth="1"/>
    <col min="8959" max="8959" width="18.6637168141593" style="108" customWidth="1"/>
    <col min="8960" max="8960" width="55.1681415929204" style="108" customWidth="1"/>
    <col min="8961" max="8962" width="8.16814159292035" style="108" customWidth="1"/>
    <col min="8963" max="8963" width="10.1681415929204" style="108" customWidth="1"/>
    <col min="8964" max="8964" width="11.6637168141593" style="108" customWidth="1"/>
    <col min="8965" max="8965" width="12" style="108" customWidth="1"/>
    <col min="8966" max="8966" width="16.6637168141593" style="108" customWidth="1"/>
    <col min="8967" max="8967" width="8" style="108" customWidth="1"/>
    <col min="8968" max="9213" width="9.16814159292035" style="108" customWidth="1"/>
    <col min="9214" max="9214" width="25.1681415929204" style="108" customWidth="1"/>
    <col min="9215" max="9215" width="18.6637168141593" style="108" customWidth="1"/>
    <col min="9216" max="9216" width="55.1681415929204" style="108" customWidth="1"/>
    <col min="9217" max="9218" width="8.16814159292035" style="108" customWidth="1"/>
    <col min="9219" max="9219" width="10.1681415929204" style="108" customWidth="1"/>
    <col min="9220" max="9220" width="11.6637168141593" style="108" customWidth="1"/>
    <col min="9221" max="9221" width="12" style="108" customWidth="1"/>
    <col min="9222" max="9222" width="16.6637168141593" style="108" customWidth="1"/>
    <col min="9223" max="9223" width="8" style="108" customWidth="1"/>
    <col min="9224" max="9469" width="9.16814159292035" style="108" customWidth="1"/>
    <col min="9470" max="9470" width="25.1681415929204" style="108" customWidth="1"/>
    <col min="9471" max="9471" width="18.6637168141593" style="108" customWidth="1"/>
    <col min="9472" max="9472" width="55.1681415929204" style="108" customWidth="1"/>
    <col min="9473" max="9474" width="8.16814159292035" style="108" customWidth="1"/>
    <col min="9475" max="9475" width="10.1681415929204" style="108" customWidth="1"/>
    <col min="9476" max="9476" width="11.6637168141593" style="108" customWidth="1"/>
    <col min="9477" max="9477" width="12" style="108" customWidth="1"/>
    <col min="9478" max="9478" width="16.6637168141593" style="108" customWidth="1"/>
    <col min="9479" max="9479" width="8" style="108" customWidth="1"/>
    <col min="9480" max="9725" width="9.16814159292035" style="108" customWidth="1"/>
    <col min="9726" max="9726" width="25.1681415929204" style="108" customWidth="1"/>
    <col min="9727" max="9727" width="18.6637168141593" style="108" customWidth="1"/>
    <col min="9728" max="9728" width="55.1681415929204" style="108" customWidth="1"/>
    <col min="9729" max="9730" width="8.16814159292035" style="108" customWidth="1"/>
    <col min="9731" max="9731" width="10.1681415929204" style="108" customWidth="1"/>
    <col min="9732" max="9732" width="11.6637168141593" style="108" customWidth="1"/>
    <col min="9733" max="9733" width="12" style="108" customWidth="1"/>
    <col min="9734" max="9734" width="16.6637168141593" style="108" customWidth="1"/>
    <col min="9735" max="9735" width="8" style="108" customWidth="1"/>
    <col min="9736" max="9981" width="9.16814159292035" style="108" customWidth="1"/>
    <col min="9982" max="9982" width="25.1681415929204" style="108" customWidth="1"/>
    <col min="9983" max="9983" width="18.6637168141593" style="108" customWidth="1"/>
    <col min="9984" max="9984" width="55.1681415929204" style="108" customWidth="1"/>
    <col min="9985" max="9986" width="8.16814159292035" style="108" customWidth="1"/>
    <col min="9987" max="9987" width="10.1681415929204" style="108" customWidth="1"/>
    <col min="9988" max="9988" width="11.6637168141593" style="108" customWidth="1"/>
    <col min="9989" max="9989" width="12" style="108" customWidth="1"/>
    <col min="9990" max="9990" width="16.6637168141593" style="108" customWidth="1"/>
    <col min="9991" max="9991" width="8" style="108" customWidth="1"/>
    <col min="9992" max="10237" width="9.16814159292035" style="108" customWidth="1"/>
    <col min="10238" max="10238" width="25.1681415929204" style="108" customWidth="1"/>
    <col min="10239" max="10239" width="18.6637168141593" style="108" customWidth="1"/>
    <col min="10240" max="10240" width="55.1681415929204" style="108" customWidth="1"/>
    <col min="10241" max="10242" width="8.16814159292035" style="108" customWidth="1"/>
    <col min="10243" max="10243" width="10.1681415929204" style="108" customWidth="1"/>
    <col min="10244" max="10244" width="11.6637168141593" style="108" customWidth="1"/>
    <col min="10245" max="10245" width="12" style="108" customWidth="1"/>
    <col min="10246" max="10246" width="16.6637168141593" style="108" customWidth="1"/>
    <col min="10247" max="10247" width="8" style="108" customWidth="1"/>
    <col min="10248" max="10493" width="9.16814159292035" style="108" customWidth="1"/>
    <col min="10494" max="10494" width="25.1681415929204" style="108" customWidth="1"/>
    <col min="10495" max="10495" width="18.6637168141593" style="108" customWidth="1"/>
    <col min="10496" max="10496" width="55.1681415929204" style="108" customWidth="1"/>
    <col min="10497" max="10498" width="8.16814159292035" style="108" customWidth="1"/>
    <col min="10499" max="10499" width="10.1681415929204" style="108" customWidth="1"/>
    <col min="10500" max="10500" width="11.6637168141593" style="108" customWidth="1"/>
    <col min="10501" max="10501" width="12" style="108" customWidth="1"/>
    <col min="10502" max="10502" width="16.6637168141593" style="108" customWidth="1"/>
    <col min="10503" max="10503" width="8" style="108" customWidth="1"/>
    <col min="10504" max="10749" width="9.16814159292035" style="108" customWidth="1"/>
    <col min="10750" max="10750" width="25.1681415929204" style="108" customWidth="1"/>
    <col min="10751" max="10751" width="18.6637168141593" style="108" customWidth="1"/>
    <col min="10752" max="10752" width="55.1681415929204" style="108" customWidth="1"/>
    <col min="10753" max="10754" width="8.16814159292035" style="108" customWidth="1"/>
    <col min="10755" max="10755" width="10.1681415929204" style="108" customWidth="1"/>
    <col min="10756" max="10756" width="11.6637168141593" style="108" customWidth="1"/>
    <col min="10757" max="10757" width="12" style="108" customWidth="1"/>
    <col min="10758" max="10758" width="16.6637168141593" style="108" customWidth="1"/>
    <col min="10759" max="10759" width="8" style="108" customWidth="1"/>
    <col min="10760" max="11005" width="9.16814159292035" style="108" customWidth="1"/>
    <col min="11006" max="11006" width="25.1681415929204" style="108" customWidth="1"/>
    <col min="11007" max="11007" width="18.6637168141593" style="108" customWidth="1"/>
    <col min="11008" max="11008" width="55.1681415929204" style="108" customWidth="1"/>
    <col min="11009" max="11010" width="8.16814159292035" style="108" customWidth="1"/>
    <col min="11011" max="11011" width="10.1681415929204" style="108" customWidth="1"/>
    <col min="11012" max="11012" width="11.6637168141593" style="108" customWidth="1"/>
    <col min="11013" max="11013" width="12" style="108" customWidth="1"/>
    <col min="11014" max="11014" width="16.6637168141593" style="108" customWidth="1"/>
    <col min="11015" max="11015" width="8" style="108" customWidth="1"/>
    <col min="11016" max="11261" width="9.16814159292035" style="108" customWidth="1"/>
    <col min="11262" max="11262" width="25.1681415929204" style="108" customWidth="1"/>
    <col min="11263" max="11263" width="18.6637168141593" style="108" customWidth="1"/>
    <col min="11264" max="11264" width="55.1681415929204" style="108" customWidth="1"/>
    <col min="11265" max="11266" width="8.16814159292035" style="108" customWidth="1"/>
    <col min="11267" max="11267" width="10.1681415929204" style="108" customWidth="1"/>
    <col min="11268" max="11268" width="11.6637168141593" style="108" customWidth="1"/>
    <col min="11269" max="11269" width="12" style="108" customWidth="1"/>
    <col min="11270" max="11270" width="16.6637168141593" style="108" customWidth="1"/>
    <col min="11271" max="11271" width="8" style="108" customWidth="1"/>
    <col min="11272" max="11517" width="9.16814159292035" style="108" customWidth="1"/>
    <col min="11518" max="11518" width="25.1681415929204" style="108" customWidth="1"/>
    <col min="11519" max="11519" width="18.6637168141593" style="108" customWidth="1"/>
    <col min="11520" max="11520" width="55.1681415929204" style="108" customWidth="1"/>
    <col min="11521" max="11522" width="8.16814159292035" style="108" customWidth="1"/>
    <col min="11523" max="11523" width="10.1681415929204" style="108" customWidth="1"/>
    <col min="11524" max="11524" width="11.6637168141593" style="108" customWidth="1"/>
    <col min="11525" max="11525" width="12" style="108" customWidth="1"/>
    <col min="11526" max="11526" width="16.6637168141593" style="108" customWidth="1"/>
    <col min="11527" max="11527" width="8" style="108" customWidth="1"/>
    <col min="11528" max="11773" width="9.16814159292035" style="108" customWidth="1"/>
    <col min="11774" max="11774" width="25.1681415929204" style="108" customWidth="1"/>
    <col min="11775" max="11775" width="18.6637168141593" style="108" customWidth="1"/>
    <col min="11776" max="11776" width="55.1681415929204" style="108" customWidth="1"/>
    <col min="11777" max="11778" width="8.16814159292035" style="108" customWidth="1"/>
    <col min="11779" max="11779" width="10.1681415929204" style="108" customWidth="1"/>
    <col min="11780" max="11780" width="11.6637168141593" style="108" customWidth="1"/>
    <col min="11781" max="11781" width="12" style="108" customWidth="1"/>
    <col min="11782" max="11782" width="16.6637168141593" style="108" customWidth="1"/>
    <col min="11783" max="11783" width="8" style="108" customWidth="1"/>
    <col min="11784" max="12029" width="9.16814159292035" style="108" customWidth="1"/>
    <col min="12030" max="12030" width="25.1681415929204" style="108" customWidth="1"/>
    <col min="12031" max="12031" width="18.6637168141593" style="108" customWidth="1"/>
    <col min="12032" max="12032" width="55.1681415929204" style="108" customWidth="1"/>
    <col min="12033" max="12034" width="8.16814159292035" style="108" customWidth="1"/>
    <col min="12035" max="12035" width="10.1681415929204" style="108" customWidth="1"/>
    <col min="12036" max="12036" width="11.6637168141593" style="108" customWidth="1"/>
    <col min="12037" max="12037" width="12" style="108" customWidth="1"/>
    <col min="12038" max="12038" width="16.6637168141593" style="108" customWidth="1"/>
    <col min="12039" max="12039" width="8" style="108" customWidth="1"/>
    <col min="12040" max="12285" width="9.16814159292035" style="108" customWidth="1"/>
    <col min="12286" max="12286" width="25.1681415929204" style="108" customWidth="1"/>
    <col min="12287" max="12287" width="18.6637168141593" style="108" customWidth="1"/>
    <col min="12288" max="12288" width="55.1681415929204" style="108" customWidth="1"/>
    <col min="12289" max="12290" width="8.16814159292035" style="108" customWidth="1"/>
    <col min="12291" max="12291" width="10.1681415929204" style="108" customWidth="1"/>
    <col min="12292" max="12292" width="11.6637168141593" style="108" customWidth="1"/>
    <col min="12293" max="12293" width="12" style="108" customWidth="1"/>
    <col min="12294" max="12294" width="16.6637168141593" style="108" customWidth="1"/>
    <col min="12295" max="12295" width="8" style="108" customWidth="1"/>
    <col min="12296" max="12541" width="9.16814159292035" style="108" customWidth="1"/>
    <col min="12542" max="12542" width="25.1681415929204" style="108" customWidth="1"/>
    <col min="12543" max="12543" width="18.6637168141593" style="108" customWidth="1"/>
    <col min="12544" max="12544" width="55.1681415929204" style="108" customWidth="1"/>
    <col min="12545" max="12546" width="8.16814159292035" style="108" customWidth="1"/>
    <col min="12547" max="12547" width="10.1681415929204" style="108" customWidth="1"/>
    <col min="12548" max="12548" width="11.6637168141593" style="108" customWidth="1"/>
    <col min="12549" max="12549" width="12" style="108" customWidth="1"/>
    <col min="12550" max="12550" width="16.6637168141593" style="108" customWidth="1"/>
    <col min="12551" max="12551" width="8" style="108" customWidth="1"/>
    <col min="12552" max="12797" width="9.16814159292035" style="108" customWidth="1"/>
    <col min="12798" max="12798" width="25.1681415929204" style="108" customWidth="1"/>
    <col min="12799" max="12799" width="18.6637168141593" style="108" customWidth="1"/>
    <col min="12800" max="12800" width="55.1681415929204" style="108" customWidth="1"/>
    <col min="12801" max="12802" width="8.16814159292035" style="108" customWidth="1"/>
    <col min="12803" max="12803" width="10.1681415929204" style="108" customWidth="1"/>
    <col min="12804" max="12804" width="11.6637168141593" style="108" customWidth="1"/>
    <col min="12805" max="12805" width="12" style="108" customWidth="1"/>
    <col min="12806" max="12806" width="16.6637168141593" style="108" customWidth="1"/>
    <col min="12807" max="12807" width="8" style="108" customWidth="1"/>
    <col min="12808" max="13053" width="9.16814159292035" style="108" customWidth="1"/>
    <col min="13054" max="13054" width="25.1681415929204" style="108" customWidth="1"/>
    <col min="13055" max="13055" width="18.6637168141593" style="108" customWidth="1"/>
    <col min="13056" max="13056" width="55.1681415929204" style="108" customWidth="1"/>
    <col min="13057" max="13058" width="8.16814159292035" style="108" customWidth="1"/>
    <col min="13059" max="13059" width="10.1681415929204" style="108" customWidth="1"/>
    <col min="13060" max="13060" width="11.6637168141593" style="108" customWidth="1"/>
    <col min="13061" max="13061" width="12" style="108" customWidth="1"/>
    <col min="13062" max="13062" width="16.6637168141593" style="108" customWidth="1"/>
    <col min="13063" max="13063" width="8" style="108" customWidth="1"/>
    <col min="13064" max="13309" width="9.16814159292035" style="108" customWidth="1"/>
    <col min="13310" max="13310" width="25.1681415929204" style="108" customWidth="1"/>
    <col min="13311" max="13311" width="18.6637168141593" style="108" customWidth="1"/>
    <col min="13312" max="13312" width="55.1681415929204" style="108" customWidth="1"/>
    <col min="13313" max="13314" width="8.16814159292035" style="108" customWidth="1"/>
    <col min="13315" max="13315" width="10.1681415929204" style="108" customWidth="1"/>
    <col min="13316" max="13316" width="11.6637168141593" style="108" customWidth="1"/>
    <col min="13317" max="13317" width="12" style="108" customWidth="1"/>
    <col min="13318" max="13318" width="16.6637168141593" style="108" customWidth="1"/>
    <col min="13319" max="13319" width="8" style="108" customWidth="1"/>
    <col min="13320" max="13565" width="9.16814159292035" style="108" customWidth="1"/>
    <col min="13566" max="13566" width="25.1681415929204" style="108" customWidth="1"/>
    <col min="13567" max="13567" width="18.6637168141593" style="108" customWidth="1"/>
    <col min="13568" max="13568" width="55.1681415929204" style="108" customWidth="1"/>
    <col min="13569" max="13570" width="8.16814159292035" style="108" customWidth="1"/>
    <col min="13571" max="13571" width="10.1681415929204" style="108" customWidth="1"/>
    <col min="13572" max="13572" width="11.6637168141593" style="108" customWidth="1"/>
    <col min="13573" max="13573" width="12" style="108" customWidth="1"/>
    <col min="13574" max="13574" width="16.6637168141593" style="108" customWidth="1"/>
    <col min="13575" max="13575" width="8" style="108" customWidth="1"/>
    <col min="13576" max="13821" width="9.16814159292035" style="108" customWidth="1"/>
    <col min="13822" max="13822" width="25.1681415929204" style="108" customWidth="1"/>
    <col min="13823" max="13823" width="18.6637168141593" style="108" customWidth="1"/>
    <col min="13824" max="13824" width="55.1681415929204" style="108" customWidth="1"/>
    <col min="13825" max="13826" width="8.16814159292035" style="108" customWidth="1"/>
    <col min="13827" max="13827" width="10.1681415929204" style="108" customWidth="1"/>
    <col min="13828" max="13828" width="11.6637168141593" style="108" customWidth="1"/>
    <col min="13829" max="13829" width="12" style="108" customWidth="1"/>
    <col min="13830" max="13830" width="16.6637168141593" style="108" customWidth="1"/>
    <col min="13831" max="13831" width="8" style="108" customWidth="1"/>
    <col min="13832" max="14077" width="9.16814159292035" style="108" customWidth="1"/>
    <col min="14078" max="14078" width="25.1681415929204" style="108" customWidth="1"/>
    <col min="14079" max="14079" width="18.6637168141593" style="108" customWidth="1"/>
    <col min="14080" max="14080" width="55.1681415929204" style="108" customWidth="1"/>
    <col min="14081" max="14082" width="8.16814159292035" style="108" customWidth="1"/>
    <col min="14083" max="14083" width="10.1681415929204" style="108" customWidth="1"/>
    <col min="14084" max="14084" width="11.6637168141593" style="108" customWidth="1"/>
    <col min="14085" max="14085" width="12" style="108" customWidth="1"/>
    <col min="14086" max="14086" width="16.6637168141593" style="108" customWidth="1"/>
    <col min="14087" max="14087" width="8" style="108" customWidth="1"/>
    <col min="14088" max="14333" width="9.16814159292035" style="108" customWidth="1"/>
    <col min="14334" max="14334" width="25.1681415929204" style="108" customWidth="1"/>
    <col min="14335" max="14335" width="18.6637168141593" style="108" customWidth="1"/>
    <col min="14336" max="14336" width="55.1681415929204" style="108" customWidth="1"/>
    <col min="14337" max="14338" width="8.16814159292035" style="108" customWidth="1"/>
    <col min="14339" max="14339" width="10.1681415929204" style="108" customWidth="1"/>
    <col min="14340" max="14340" width="11.6637168141593" style="108" customWidth="1"/>
    <col min="14341" max="14341" width="12" style="108" customWidth="1"/>
    <col min="14342" max="14342" width="16.6637168141593" style="108" customWidth="1"/>
    <col min="14343" max="14343" width="8" style="108" customWidth="1"/>
    <col min="14344" max="14589" width="9.16814159292035" style="108" customWidth="1"/>
    <col min="14590" max="14590" width="25.1681415929204" style="108" customWidth="1"/>
    <col min="14591" max="14591" width="18.6637168141593" style="108" customWidth="1"/>
    <col min="14592" max="14592" width="55.1681415929204" style="108" customWidth="1"/>
    <col min="14593" max="14594" width="8.16814159292035" style="108" customWidth="1"/>
    <col min="14595" max="14595" width="10.1681415929204" style="108" customWidth="1"/>
    <col min="14596" max="14596" width="11.6637168141593" style="108" customWidth="1"/>
    <col min="14597" max="14597" width="12" style="108" customWidth="1"/>
    <col min="14598" max="14598" width="16.6637168141593" style="108" customWidth="1"/>
    <col min="14599" max="14599" width="8" style="108" customWidth="1"/>
    <col min="14600" max="14845" width="9.16814159292035" style="108" customWidth="1"/>
    <col min="14846" max="14846" width="25.1681415929204" style="108" customWidth="1"/>
    <col min="14847" max="14847" width="18.6637168141593" style="108" customWidth="1"/>
    <col min="14848" max="14848" width="55.1681415929204" style="108" customWidth="1"/>
    <col min="14849" max="14850" width="8.16814159292035" style="108" customWidth="1"/>
    <col min="14851" max="14851" width="10.1681415929204" style="108" customWidth="1"/>
    <col min="14852" max="14852" width="11.6637168141593" style="108" customWidth="1"/>
    <col min="14853" max="14853" width="12" style="108" customWidth="1"/>
    <col min="14854" max="14854" width="16.6637168141593" style="108" customWidth="1"/>
    <col min="14855" max="14855" width="8" style="108" customWidth="1"/>
    <col min="14856" max="15101" width="9.16814159292035" style="108" customWidth="1"/>
    <col min="15102" max="15102" width="25.1681415929204" style="108" customWidth="1"/>
    <col min="15103" max="15103" width="18.6637168141593" style="108" customWidth="1"/>
    <col min="15104" max="15104" width="55.1681415929204" style="108" customWidth="1"/>
    <col min="15105" max="15106" width="8.16814159292035" style="108" customWidth="1"/>
    <col min="15107" max="15107" width="10.1681415929204" style="108" customWidth="1"/>
    <col min="15108" max="15108" width="11.6637168141593" style="108" customWidth="1"/>
    <col min="15109" max="15109" width="12" style="108" customWidth="1"/>
    <col min="15110" max="15110" width="16.6637168141593" style="108" customWidth="1"/>
    <col min="15111" max="15111" width="8" style="108" customWidth="1"/>
    <col min="15112" max="15357" width="9.16814159292035" style="108" customWidth="1"/>
    <col min="15358" max="15358" width="25.1681415929204" style="108" customWidth="1"/>
    <col min="15359" max="15359" width="18.6637168141593" style="108" customWidth="1"/>
    <col min="15360" max="15360" width="55.1681415929204" style="108" customWidth="1"/>
    <col min="15361" max="15362" width="8.16814159292035" style="108" customWidth="1"/>
    <col min="15363" max="15363" width="10.1681415929204" style="108" customWidth="1"/>
    <col min="15364" max="15364" width="11.6637168141593" style="108" customWidth="1"/>
    <col min="15365" max="15365" width="12" style="108" customWidth="1"/>
    <col min="15366" max="15366" width="16.6637168141593" style="108" customWidth="1"/>
    <col min="15367" max="15367" width="8" style="108" customWidth="1"/>
    <col min="15368" max="15613" width="9.16814159292035" style="108" customWidth="1"/>
    <col min="15614" max="15614" width="25.1681415929204" style="108" customWidth="1"/>
    <col min="15615" max="15615" width="18.6637168141593" style="108" customWidth="1"/>
    <col min="15616" max="15616" width="55.1681415929204" style="108" customWidth="1"/>
    <col min="15617" max="15618" width="8.16814159292035" style="108" customWidth="1"/>
    <col min="15619" max="15619" width="10.1681415929204" style="108" customWidth="1"/>
    <col min="15620" max="15620" width="11.6637168141593" style="108" customWidth="1"/>
    <col min="15621" max="15621" width="12" style="108" customWidth="1"/>
    <col min="15622" max="15622" width="16.6637168141593" style="108" customWidth="1"/>
    <col min="15623" max="15623" width="8" style="108" customWidth="1"/>
    <col min="15624" max="15869" width="9.16814159292035" style="108" customWidth="1"/>
    <col min="15870" max="15870" width="25.1681415929204" style="108" customWidth="1"/>
    <col min="15871" max="15871" width="18.6637168141593" style="108" customWidth="1"/>
    <col min="15872" max="15872" width="55.1681415929204" style="108" customWidth="1"/>
    <col min="15873" max="15874" width="8.16814159292035" style="108" customWidth="1"/>
    <col min="15875" max="15875" width="10.1681415929204" style="108" customWidth="1"/>
    <col min="15876" max="15876" width="11.6637168141593" style="108" customWidth="1"/>
    <col min="15877" max="15877" width="12" style="108" customWidth="1"/>
    <col min="15878" max="15878" width="16.6637168141593" style="108" customWidth="1"/>
    <col min="15879" max="15879" width="8" style="108" customWidth="1"/>
    <col min="15880" max="16125" width="9.16814159292035" style="108" customWidth="1"/>
    <col min="16126" max="16126" width="25.1681415929204" style="108" customWidth="1"/>
    <col min="16127" max="16127" width="18.6637168141593" style="108" customWidth="1"/>
    <col min="16128" max="16128" width="55.1681415929204" style="108" customWidth="1"/>
    <col min="16129" max="16130" width="8.16814159292035" style="108" customWidth="1"/>
    <col min="16131" max="16131" width="10.1681415929204" style="108" customWidth="1"/>
    <col min="16132" max="16132" width="11.6637168141593" style="108" customWidth="1"/>
    <col min="16133" max="16133" width="12" style="108" customWidth="1"/>
    <col min="16134" max="16134" width="16.6637168141593" style="108" customWidth="1"/>
    <col min="16135" max="16135" width="8" style="108" customWidth="1"/>
    <col min="16136" max="16382" width="9.16814159292035" style="108" customWidth="1"/>
    <col min="16383" max="16384" width="9.16814159292035" style="108"/>
  </cols>
  <sheetData>
    <row r="1" s="105" customFormat="1" ht="16" customHeight="1" spans="1:11">
      <c r="A1" s="70" t="s">
        <v>50</v>
      </c>
      <c r="B1" s="70" t="s">
        <v>51</v>
      </c>
      <c r="C1" s="70" t="s">
        <v>52</v>
      </c>
      <c r="D1" s="70" t="s">
        <v>53</v>
      </c>
      <c r="E1" s="70" t="s">
        <v>54</v>
      </c>
      <c r="F1" s="376" t="s">
        <v>55</v>
      </c>
      <c r="G1" s="70" t="s">
        <v>56</v>
      </c>
      <c r="H1" s="70" t="s">
        <v>57</v>
      </c>
      <c r="I1" s="70" t="s">
        <v>58</v>
      </c>
      <c r="J1" s="70" t="s">
        <v>59</v>
      </c>
    </row>
    <row r="2" ht="30" customHeight="1" spans="1:11">
      <c r="A2" s="313" t="s">
        <v>188</v>
      </c>
      <c r="B2" s="109" t="s">
        <v>38</v>
      </c>
      <c r="C2" s="122" t="s">
        <v>189</v>
      </c>
      <c r="D2" s="371" t="s">
        <v>190</v>
      </c>
      <c r="E2" s="122" t="s">
        <v>64</v>
      </c>
      <c r="F2" s="377">
        <v>4</v>
      </c>
      <c r="G2" s="122" t="s">
        <v>69</v>
      </c>
      <c r="H2" s="72">
        <v>104650</v>
      </c>
      <c r="I2" s="378"/>
      <c r="J2" s="86"/>
    </row>
    <row r="3" ht="28" customHeight="1" spans="1:11">
      <c r="A3" s="313" t="s">
        <v>191</v>
      </c>
      <c r="B3" s="109" t="s">
        <v>25</v>
      </c>
      <c r="C3" s="122" t="s">
        <v>192</v>
      </c>
      <c r="D3" s="371" t="s">
        <v>193</v>
      </c>
      <c r="E3" s="122" t="s">
        <v>64</v>
      </c>
      <c r="F3" s="377">
        <v>4</v>
      </c>
      <c r="G3" s="122" t="s">
        <v>69</v>
      </c>
      <c r="H3" s="72">
        <v>22750</v>
      </c>
      <c r="I3" s="378"/>
      <c r="J3" s="86"/>
    </row>
    <row r="4" ht="28" customHeight="1" spans="1:11">
      <c r="A4" s="313" t="s">
        <v>191</v>
      </c>
      <c r="B4" s="109" t="s">
        <v>25</v>
      </c>
      <c r="C4" s="122" t="s">
        <v>194</v>
      </c>
      <c r="D4" s="371" t="s">
        <v>195</v>
      </c>
      <c r="E4" s="122" t="s">
        <v>64</v>
      </c>
      <c r="F4" s="377">
        <v>4</v>
      </c>
      <c r="G4" s="122" t="s">
        <v>69</v>
      </c>
      <c r="H4" s="72">
        <v>25116</v>
      </c>
      <c r="I4" s="378"/>
      <c r="J4" s="86"/>
    </row>
    <row r="5" ht="15" customHeight="1" spans="1:11">
      <c r="A5" s="313" t="s">
        <v>196</v>
      </c>
      <c r="B5" s="109" t="s">
        <v>197</v>
      </c>
      <c r="C5" s="122" t="s">
        <v>198</v>
      </c>
      <c r="D5" s="371" t="s">
        <v>199</v>
      </c>
      <c r="E5" s="122" t="s">
        <v>64</v>
      </c>
      <c r="F5" s="377">
        <v>4</v>
      </c>
      <c r="G5" s="122" t="s">
        <v>69</v>
      </c>
      <c r="H5" s="72">
        <v>235638</v>
      </c>
      <c r="I5" s="378"/>
      <c r="J5" s="86"/>
    </row>
    <row r="6" ht="15" customHeight="1" spans="1:11">
      <c r="A6" s="313" t="s">
        <v>196</v>
      </c>
      <c r="B6" s="109" t="s">
        <v>197</v>
      </c>
      <c r="C6" s="122" t="s">
        <v>200</v>
      </c>
      <c r="D6" s="371" t="s">
        <v>201</v>
      </c>
      <c r="E6" s="122" t="s">
        <v>64</v>
      </c>
      <c r="F6" s="377">
        <v>4</v>
      </c>
      <c r="G6" s="122" t="s">
        <v>69</v>
      </c>
      <c r="H6" s="72">
        <v>242502</v>
      </c>
      <c r="I6" s="378"/>
      <c r="J6" s="86"/>
      <c r="K6" s="379"/>
    </row>
    <row r="7" ht="30" customHeight="1" spans="1:11">
      <c r="A7" s="313" t="s">
        <v>61</v>
      </c>
      <c r="B7" s="109" t="s">
        <v>38</v>
      </c>
      <c r="C7" s="122" t="s">
        <v>202</v>
      </c>
      <c r="D7" s="371" t="s">
        <v>203</v>
      </c>
      <c r="E7" s="122" t="s">
        <v>64</v>
      </c>
      <c r="F7" s="377">
        <v>4</v>
      </c>
      <c r="G7" s="122" t="s">
        <v>69</v>
      </c>
      <c r="H7" s="72">
        <v>140556</v>
      </c>
      <c r="I7" s="378"/>
      <c r="J7" s="86"/>
    </row>
    <row r="8" ht="28" customHeight="1" spans="1:11">
      <c r="A8" s="313" t="s">
        <v>191</v>
      </c>
      <c r="B8" s="109" t="s">
        <v>25</v>
      </c>
      <c r="C8" s="122" t="s">
        <v>204</v>
      </c>
      <c r="D8" s="371" t="s">
        <v>205</v>
      </c>
      <c r="E8" s="122" t="s">
        <v>64</v>
      </c>
      <c r="F8" s="377">
        <v>4</v>
      </c>
      <c r="G8" s="122" t="s">
        <v>69</v>
      </c>
      <c r="H8" s="72">
        <v>29328</v>
      </c>
      <c r="I8" s="378"/>
      <c r="J8" s="86"/>
    </row>
    <row r="9" ht="28" customHeight="1" spans="1:11">
      <c r="A9" s="313" t="s">
        <v>191</v>
      </c>
      <c r="B9" s="109" t="s">
        <v>25</v>
      </c>
      <c r="C9" s="122" t="s">
        <v>206</v>
      </c>
      <c r="D9" s="371" t="s">
        <v>207</v>
      </c>
      <c r="E9" s="122" t="s">
        <v>64</v>
      </c>
      <c r="F9" s="377">
        <v>4</v>
      </c>
      <c r="G9" s="122" t="s">
        <v>69</v>
      </c>
      <c r="H9" s="72">
        <v>35906</v>
      </c>
      <c r="I9" s="378"/>
      <c r="J9" s="86"/>
    </row>
    <row r="10" ht="15" customHeight="1" spans="1:11">
      <c r="A10" s="313" t="s">
        <v>196</v>
      </c>
      <c r="B10" s="109" t="s">
        <v>33</v>
      </c>
      <c r="C10" s="122" t="s">
        <v>208</v>
      </c>
      <c r="D10" s="371" t="s">
        <v>209</v>
      </c>
      <c r="E10" s="122" t="s">
        <v>64</v>
      </c>
      <c r="F10" s="377">
        <v>4</v>
      </c>
      <c r="G10" s="122" t="s">
        <v>69</v>
      </c>
      <c r="H10" s="72">
        <v>169260</v>
      </c>
      <c r="I10" s="378"/>
      <c r="J10" s="86"/>
      <c r="K10" s="379"/>
    </row>
    <row r="11" ht="15" customHeight="1" spans="1:11">
      <c r="A11" s="313" t="s">
        <v>196</v>
      </c>
      <c r="B11" s="109" t="s">
        <v>33</v>
      </c>
      <c r="C11" s="122" t="s">
        <v>210</v>
      </c>
      <c r="D11" s="371" t="s">
        <v>211</v>
      </c>
      <c r="E11" s="122" t="s">
        <v>64</v>
      </c>
      <c r="F11" s="377">
        <v>4</v>
      </c>
      <c r="G11" s="122" t="s">
        <v>69</v>
      </c>
      <c r="H11" s="72">
        <v>430560</v>
      </c>
      <c r="I11" s="378"/>
      <c r="J11" s="86"/>
    </row>
    <row r="12" ht="15" customHeight="1" spans="1:11">
      <c r="A12" s="313" t="s">
        <v>196</v>
      </c>
      <c r="B12" s="109" t="s">
        <v>40</v>
      </c>
      <c r="C12" s="122" t="s">
        <v>212</v>
      </c>
      <c r="D12" s="371" t="s">
        <v>213</v>
      </c>
      <c r="E12" s="122" t="s">
        <v>64</v>
      </c>
      <c r="F12" s="377">
        <v>4</v>
      </c>
      <c r="G12" s="122" t="s">
        <v>69</v>
      </c>
      <c r="H12" s="72">
        <v>235638</v>
      </c>
      <c r="I12" s="378"/>
      <c r="J12" s="86"/>
      <c r="K12" s="379"/>
    </row>
    <row r="13" ht="30" customHeight="1" spans="1:11">
      <c r="A13" s="313" t="s">
        <v>196</v>
      </c>
      <c r="B13" s="109" t="s">
        <v>40</v>
      </c>
      <c r="C13" s="122" t="s">
        <v>214</v>
      </c>
      <c r="D13" s="371" t="s">
        <v>215</v>
      </c>
      <c r="E13" s="122" t="s">
        <v>64</v>
      </c>
      <c r="F13" s="377">
        <v>4</v>
      </c>
      <c r="G13" s="122" t="s">
        <v>69</v>
      </c>
      <c r="H13" s="72">
        <v>242502</v>
      </c>
      <c r="I13" s="378"/>
      <c r="J13" s="86"/>
      <c r="K13" s="379"/>
    </row>
    <row r="14" ht="15" customHeight="1" spans="1:11">
      <c r="A14" s="313" t="s">
        <v>196</v>
      </c>
      <c r="B14" s="109" t="s">
        <v>40</v>
      </c>
      <c r="C14" s="122" t="s">
        <v>216</v>
      </c>
      <c r="D14" s="371" t="s">
        <v>217</v>
      </c>
      <c r="E14" s="122" t="s">
        <v>64</v>
      </c>
      <c r="F14" s="377">
        <v>4</v>
      </c>
      <c r="G14" s="122" t="s">
        <v>69</v>
      </c>
      <c r="H14" s="72">
        <v>230828</v>
      </c>
      <c r="I14" s="378"/>
      <c r="J14" s="86"/>
    </row>
    <row r="15" ht="15" customHeight="1" spans="1:11">
      <c r="A15" s="313" t="s">
        <v>196</v>
      </c>
      <c r="B15" s="109" t="s">
        <v>40</v>
      </c>
      <c r="C15" s="122" t="s">
        <v>218</v>
      </c>
      <c r="D15" s="371" t="s">
        <v>219</v>
      </c>
      <c r="E15" s="122" t="s">
        <v>64</v>
      </c>
      <c r="F15" s="377">
        <v>4</v>
      </c>
      <c r="G15" s="122" t="s">
        <v>69</v>
      </c>
      <c r="H15" s="72">
        <v>239200</v>
      </c>
      <c r="I15" s="378"/>
      <c r="J15" s="86"/>
    </row>
    <row r="16" ht="15" customHeight="1" spans="1:11">
      <c r="A16" s="313" t="s">
        <v>196</v>
      </c>
      <c r="B16" s="109" t="s">
        <v>40</v>
      </c>
      <c r="C16" s="122" t="s">
        <v>220</v>
      </c>
      <c r="D16" s="371" t="s">
        <v>221</v>
      </c>
      <c r="E16" s="122" t="s">
        <v>64</v>
      </c>
      <c r="F16" s="377">
        <v>4</v>
      </c>
      <c r="G16" s="122" t="s">
        <v>69</v>
      </c>
      <c r="H16" s="72">
        <v>225758</v>
      </c>
      <c r="I16" s="378"/>
      <c r="J16" s="86"/>
    </row>
    <row r="17" ht="15" customHeight="1" spans="1:10">
      <c r="A17" s="313" t="s">
        <v>196</v>
      </c>
      <c r="B17" s="109" t="s">
        <v>40</v>
      </c>
      <c r="C17" s="122" t="s">
        <v>222</v>
      </c>
      <c r="D17" s="371" t="s">
        <v>223</v>
      </c>
      <c r="E17" s="122" t="s">
        <v>64</v>
      </c>
      <c r="F17" s="377">
        <v>4</v>
      </c>
      <c r="G17" s="122" t="s">
        <v>69</v>
      </c>
      <c r="H17" s="72">
        <v>398580</v>
      </c>
      <c r="I17" s="378"/>
      <c r="J17" s="86"/>
    </row>
    <row r="18" ht="15" customHeight="1" spans="1:10">
      <c r="A18" s="313" t="s">
        <v>196</v>
      </c>
      <c r="B18" s="109" t="s">
        <v>40</v>
      </c>
      <c r="C18" s="122" t="s">
        <v>224</v>
      </c>
      <c r="D18" s="371" t="s">
        <v>225</v>
      </c>
      <c r="E18" s="122" t="s">
        <v>64</v>
      </c>
      <c r="F18" s="377">
        <v>4</v>
      </c>
      <c r="G18" s="122" t="s">
        <v>69</v>
      </c>
      <c r="H18" s="72">
        <v>650000</v>
      </c>
      <c r="I18" s="378"/>
      <c r="J18" s="86"/>
    </row>
    <row r="19" ht="28" customHeight="1" spans="1:10">
      <c r="A19" s="313" t="s">
        <v>226</v>
      </c>
      <c r="B19" s="109" t="s">
        <v>28</v>
      </c>
      <c r="C19" s="122" t="s">
        <v>227</v>
      </c>
      <c r="D19" s="371" t="s">
        <v>228</v>
      </c>
      <c r="E19" s="122" t="s">
        <v>64</v>
      </c>
      <c r="F19" s="377">
        <v>4</v>
      </c>
      <c r="G19" s="122" t="s">
        <v>69</v>
      </c>
      <c r="H19" s="72">
        <v>91000</v>
      </c>
      <c r="I19" s="378"/>
      <c r="J19" s="8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selection activeCell="R5" sqref="R5"/>
    </sheetView>
  </sheetViews>
  <sheetFormatPr defaultColWidth="9.16814159292035" defaultRowHeight="13.85"/>
  <cols>
    <col min="1" max="1" width="24.1681415929204" style="107" customWidth="1"/>
    <col min="2" max="2" width="17.1681415929204" style="106" customWidth="1"/>
    <col min="3" max="3" width="21.1681415929204" style="106" customWidth="1"/>
    <col min="4" max="4" width="80.6637168141593" style="107" customWidth="1"/>
    <col min="5" max="6" width="8" style="106" customWidth="1"/>
    <col min="7" max="8" width="9.66371681415929" style="106" customWidth="1"/>
    <col min="9" max="9" width="14" style="106" customWidth="1"/>
    <col min="10" max="10" width="12.1681415929204" style="106" customWidth="1"/>
    <col min="11" max="253" width="9.16814159292035" style="108" customWidth="1"/>
    <col min="254" max="254" width="25.1681415929204" style="108" customWidth="1"/>
    <col min="255" max="255" width="18.6637168141593" style="108" customWidth="1"/>
    <col min="256" max="256" width="55.1681415929204" style="108" customWidth="1"/>
    <col min="257" max="258" width="8.16814159292035" style="108" customWidth="1"/>
    <col min="259" max="259" width="10.1681415929204" style="108" customWidth="1"/>
    <col min="260" max="260" width="11.6637168141593" style="108" customWidth="1"/>
    <col min="261" max="261" width="12" style="108" customWidth="1"/>
    <col min="262" max="262" width="16.6637168141593" style="108" customWidth="1"/>
    <col min="263" max="263" width="8" style="108" customWidth="1"/>
    <col min="264" max="509" width="9.16814159292035" style="108" customWidth="1"/>
    <col min="510" max="510" width="25.1681415929204" style="108" customWidth="1"/>
    <col min="511" max="511" width="18.6637168141593" style="108" customWidth="1"/>
    <col min="512" max="512" width="55.1681415929204" style="108" customWidth="1"/>
    <col min="513" max="514" width="8.16814159292035" style="108" customWidth="1"/>
    <col min="515" max="515" width="10.1681415929204" style="108" customWidth="1"/>
    <col min="516" max="516" width="11.6637168141593" style="108" customWidth="1"/>
    <col min="517" max="517" width="12" style="108" customWidth="1"/>
    <col min="518" max="518" width="16.6637168141593" style="108" customWidth="1"/>
    <col min="519" max="519" width="8" style="108" customWidth="1"/>
    <col min="520" max="765" width="9.16814159292035" style="108" customWidth="1"/>
    <col min="766" max="766" width="25.1681415929204" style="108" customWidth="1"/>
    <col min="767" max="767" width="18.6637168141593" style="108" customWidth="1"/>
    <col min="768" max="768" width="55.1681415929204" style="108" customWidth="1"/>
    <col min="769" max="770" width="8.16814159292035" style="108" customWidth="1"/>
    <col min="771" max="771" width="10.1681415929204" style="108" customWidth="1"/>
    <col min="772" max="772" width="11.6637168141593" style="108" customWidth="1"/>
    <col min="773" max="773" width="12" style="108" customWidth="1"/>
    <col min="774" max="774" width="16.6637168141593" style="108" customWidth="1"/>
    <col min="775" max="775" width="8" style="108" customWidth="1"/>
    <col min="776" max="1021" width="9.16814159292035" style="108" customWidth="1"/>
    <col min="1022" max="1022" width="25.1681415929204" style="108" customWidth="1"/>
    <col min="1023" max="1023" width="18.6637168141593" style="108" customWidth="1"/>
    <col min="1024" max="1024" width="55.1681415929204" style="108" customWidth="1"/>
    <col min="1025" max="1026" width="8.16814159292035" style="108" customWidth="1"/>
    <col min="1027" max="1027" width="10.1681415929204" style="108" customWidth="1"/>
    <col min="1028" max="1028" width="11.6637168141593" style="108" customWidth="1"/>
    <col min="1029" max="1029" width="12" style="108" customWidth="1"/>
    <col min="1030" max="1030" width="16.6637168141593" style="108" customWidth="1"/>
    <col min="1031" max="1031" width="8" style="108" customWidth="1"/>
    <col min="1032" max="1277" width="9.16814159292035" style="108" customWidth="1"/>
    <col min="1278" max="1278" width="25.1681415929204" style="108" customWidth="1"/>
    <col min="1279" max="1279" width="18.6637168141593" style="108" customWidth="1"/>
    <col min="1280" max="1280" width="55.1681415929204" style="108" customWidth="1"/>
    <col min="1281" max="1282" width="8.16814159292035" style="108" customWidth="1"/>
    <col min="1283" max="1283" width="10.1681415929204" style="108" customWidth="1"/>
    <col min="1284" max="1284" width="11.6637168141593" style="108" customWidth="1"/>
    <col min="1285" max="1285" width="12" style="108" customWidth="1"/>
    <col min="1286" max="1286" width="16.6637168141593" style="108" customWidth="1"/>
    <col min="1287" max="1287" width="8" style="108" customWidth="1"/>
    <col min="1288" max="1533" width="9.16814159292035" style="108" customWidth="1"/>
    <col min="1534" max="1534" width="25.1681415929204" style="108" customWidth="1"/>
    <col min="1535" max="1535" width="18.6637168141593" style="108" customWidth="1"/>
    <col min="1536" max="1536" width="55.1681415929204" style="108" customWidth="1"/>
    <col min="1537" max="1538" width="8.16814159292035" style="108" customWidth="1"/>
    <col min="1539" max="1539" width="10.1681415929204" style="108" customWidth="1"/>
    <col min="1540" max="1540" width="11.6637168141593" style="108" customWidth="1"/>
    <col min="1541" max="1541" width="12" style="108" customWidth="1"/>
    <col min="1542" max="1542" width="16.6637168141593" style="108" customWidth="1"/>
    <col min="1543" max="1543" width="8" style="108" customWidth="1"/>
    <col min="1544" max="1789" width="9.16814159292035" style="108" customWidth="1"/>
    <col min="1790" max="1790" width="25.1681415929204" style="108" customWidth="1"/>
    <col min="1791" max="1791" width="18.6637168141593" style="108" customWidth="1"/>
    <col min="1792" max="1792" width="55.1681415929204" style="108" customWidth="1"/>
    <col min="1793" max="1794" width="8.16814159292035" style="108" customWidth="1"/>
    <col min="1795" max="1795" width="10.1681415929204" style="108" customWidth="1"/>
    <col min="1796" max="1796" width="11.6637168141593" style="108" customWidth="1"/>
    <col min="1797" max="1797" width="12" style="108" customWidth="1"/>
    <col min="1798" max="1798" width="16.6637168141593" style="108" customWidth="1"/>
    <col min="1799" max="1799" width="8" style="108" customWidth="1"/>
    <col min="1800" max="2045" width="9.16814159292035" style="108" customWidth="1"/>
    <col min="2046" max="2046" width="25.1681415929204" style="108" customWidth="1"/>
    <col min="2047" max="2047" width="18.6637168141593" style="108" customWidth="1"/>
    <col min="2048" max="2048" width="55.1681415929204" style="108" customWidth="1"/>
    <col min="2049" max="2050" width="8.16814159292035" style="108" customWidth="1"/>
    <col min="2051" max="2051" width="10.1681415929204" style="108" customWidth="1"/>
    <col min="2052" max="2052" width="11.6637168141593" style="108" customWidth="1"/>
    <col min="2053" max="2053" width="12" style="108" customWidth="1"/>
    <col min="2054" max="2054" width="16.6637168141593" style="108" customWidth="1"/>
    <col min="2055" max="2055" width="8" style="108" customWidth="1"/>
    <col min="2056" max="2301" width="9.16814159292035" style="108" customWidth="1"/>
    <col min="2302" max="2302" width="25.1681415929204" style="108" customWidth="1"/>
    <col min="2303" max="2303" width="18.6637168141593" style="108" customWidth="1"/>
    <col min="2304" max="2304" width="55.1681415929204" style="108" customWidth="1"/>
    <col min="2305" max="2306" width="8.16814159292035" style="108" customWidth="1"/>
    <col min="2307" max="2307" width="10.1681415929204" style="108" customWidth="1"/>
    <col min="2308" max="2308" width="11.6637168141593" style="108" customWidth="1"/>
    <col min="2309" max="2309" width="12" style="108" customWidth="1"/>
    <col min="2310" max="2310" width="16.6637168141593" style="108" customWidth="1"/>
    <col min="2311" max="2311" width="8" style="108" customWidth="1"/>
    <col min="2312" max="2557" width="9.16814159292035" style="108" customWidth="1"/>
    <col min="2558" max="2558" width="25.1681415929204" style="108" customWidth="1"/>
    <col min="2559" max="2559" width="18.6637168141593" style="108" customWidth="1"/>
    <col min="2560" max="2560" width="55.1681415929204" style="108" customWidth="1"/>
    <col min="2561" max="2562" width="8.16814159292035" style="108" customWidth="1"/>
    <col min="2563" max="2563" width="10.1681415929204" style="108" customWidth="1"/>
    <col min="2564" max="2564" width="11.6637168141593" style="108" customWidth="1"/>
    <col min="2565" max="2565" width="12" style="108" customWidth="1"/>
    <col min="2566" max="2566" width="16.6637168141593" style="108" customWidth="1"/>
    <col min="2567" max="2567" width="8" style="108" customWidth="1"/>
    <col min="2568" max="2813" width="9.16814159292035" style="108" customWidth="1"/>
    <col min="2814" max="2814" width="25.1681415929204" style="108" customWidth="1"/>
    <col min="2815" max="2815" width="18.6637168141593" style="108" customWidth="1"/>
    <col min="2816" max="2816" width="55.1681415929204" style="108" customWidth="1"/>
    <col min="2817" max="2818" width="8.16814159292035" style="108" customWidth="1"/>
    <col min="2819" max="2819" width="10.1681415929204" style="108" customWidth="1"/>
    <col min="2820" max="2820" width="11.6637168141593" style="108" customWidth="1"/>
    <col min="2821" max="2821" width="12" style="108" customWidth="1"/>
    <col min="2822" max="2822" width="16.6637168141593" style="108" customWidth="1"/>
    <col min="2823" max="2823" width="8" style="108" customWidth="1"/>
    <col min="2824" max="3069" width="9.16814159292035" style="108" customWidth="1"/>
    <col min="3070" max="3070" width="25.1681415929204" style="108" customWidth="1"/>
    <col min="3071" max="3071" width="18.6637168141593" style="108" customWidth="1"/>
    <col min="3072" max="3072" width="55.1681415929204" style="108" customWidth="1"/>
    <col min="3073" max="3074" width="8.16814159292035" style="108" customWidth="1"/>
    <col min="3075" max="3075" width="10.1681415929204" style="108" customWidth="1"/>
    <col min="3076" max="3076" width="11.6637168141593" style="108" customWidth="1"/>
    <col min="3077" max="3077" width="12" style="108" customWidth="1"/>
    <col min="3078" max="3078" width="16.6637168141593" style="108" customWidth="1"/>
    <col min="3079" max="3079" width="8" style="108" customWidth="1"/>
    <col min="3080" max="3325" width="9.16814159292035" style="108" customWidth="1"/>
    <col min="3326" max="3326" width="25.1681415929204" style="108" customWidth="1"/>
    <col min="3327" max="3327" width="18.6637168141593" style="108" customWidth="1"/>
    <col min="3328" max="3328" width="55.1681415929204" style="108" customWidth="1"/>
    <col min="3329" max="3330" width="8.16814159292035" style="108" customWidth="1"/>
    <col min="3331" max="3331" width="10.1681415929204" style="108" customWidth="1"/>
    <col min="3332" max="3332" width="11.6637168141593" style="108" customWidth="1"/>
    <col min="3333" max="3333" width="12" style="108" customWidth="1"/>
    <col min="3334" max="3334" width="16.6637168141593" style="108" customWidth="1"/>
    <col min="3335" max="3335" width="8" style="108" customWidth="1"/>
    <col min="3336" max="3581" width="9.16814159292035" style="108" customWidth="1"/>
    <col min="3582" max="3582" width="25.1681415929204" style="108" customWidth="1"/>
    <col min="3583" max="3583" width="18.6637168141593" style="108" customWidth="1"/>
    <col min="3584" max="3584" width="55.1681415929204" style="108" customWidth="1"/>
    <col min="3585" max="3586" width="8.16814159292035" style="108" customWidth="1"/>
    <col min="3587" max="3587" width="10.1681415929204" style="108" customWidth="1"/>
    <col min="3588" max="3588" width="11.6637168141593" style="108" customWidth="1"/>
    <col min="3589" max="3589" width="12" style="108" customWidth="1"/>
    <col min="3590" max="3590" width="16.6637168141593" style="108" customWidth="1"/>
    <col min="3591" max="3591" width="8" style="108" customWidth="1"/>
    <col min="3592" max="3837" width="9.16814159292035" style="108" customWidth="1"/>
    <col min="3838" max="3838" width="25.1681415929204" style="108" customWidth="1"/>
    <col min="3839" max="3839" width="18.6637168141593" style="108" customWidth="1"/>
    <col min="3840" max="3840" width="55.1681415929204" style="108" customWidth="1"/>
    <col min="3841" max="3842" width="8.16814159292035" style="108" customWidth="1"/>
    <col min="3843" max="3843" width="10.1681415929204" style="108" customWidth="1"/>
    <col min="3844" max="3844" width="11.6637168141593" style="108" customWidth="1"/>
    <col min="3845" max="3845" width="12" style="108" customWidth="1"/>
    <col min="3846" max="3846" width="16.6637168141593" style="108" customWidth="1"/>
    <col min="3847" max="3847" width="8" style="108" customWidth="1"/>
    <col min="3848" max="4093" width="9.16814159292035" style="108" customWidth="1"/>
    <col min="4094" max="4094" width="25.1681415929204" style="108" customWidth="1"/>
    <col min="4095" max="4095" width="18.6637168141593" style="108" customWidth="1"/>
    <col min="4096" max="4096" width="55.1681415929204" style="108" customWidth="1"/>
    <col min="4097" max="4098" width="8.16814159292035" style="108" customWidth="1"/>
    <col min="4099" max="4099" width="10.1681415929204" style="108" customWidth="1"/>
    <col min="4100" max="4100" width="11.6637168141593" style="108" customWidth="1"/>
    <col min="4101" max="4101" width="12" style="108" customWidth="1"/>
    <col min="4102" max="4102" width="16.6637168141593" style="108" customWidth="1"/>
    <col min="4103" max="4103" width="8" style="108" customWidth="1"/>
    <col min="4104" max="4349" width="9.16814159292035" style="108" customWidth="1"/>
    <col min="4350" max="4350" width="25.1681415929204" style="108" customWidth="1"/>
    <col min="4351" max="4351" width="18.6637168141593" style="108" customWidth="1"/>
    <col min="4352" max="4352" width="55.1681415929204" style="108" customWidth="1"/>
    <col min="4353" max="4354" width="8.16814159292035" style="108" customWidth="1"/>
    <col min="4355" max="4355" width="10.1681415929204" style="108" customWidth="1"/>
    <col min="4356" max="4356" width="11.6637168141593" style="108" customWidth="1"/>
    <col min="4357" max="4357" width="12" style="108" customWidth="1"/>
    <col min="4358" max="4358" width="16.6637168141593" style="108" customWidth="1"/>
    <col min="4359" max="4359" width="8" style="108" customWidth="1"/>
    <col min="4360" max="4605" width="9.16814159292035" style="108" customWidth="1"/>
    <col min="4606" max="4606" width="25.1681415929204" style="108" customWidth="1"/>
    <col min="4607" max="4607" width="18.6637168141593" style="108" customWidth="1"/>
    <col min="4608" max="4608" width="55.1681415929204" style="108" customWidth="1"/>
    <col min="4609" max="4610" width="8.16814159292035" style="108" customWidth="1"/>
    <col min="4611" max="4611" width="10.1681415929204" style="108" customWidth="1"/>
    <col min="4612" max="4612" width="11.6637168141593" style="108" customWidth="1"/>
    <col min="4613" max="4613" width="12" style="108" customWidth="1"/>
    <col min="4614" max="4614" width="16.6637168141593" style="108" customWidth="1"/>
    <col min="4615" max="4615" width="8" style="108" customWidth="1"/>
    <col min="4616" max="4861" width="9.16814159292035" style="108" customWidth="1"/>
    <col min="4862" max="4862" width="25.1681415929204" style="108" customWidth="1"/>
    <col min="4863" max="4863" width="18.6637168141593" style="108" customWidth="1"/>
    <col min="4864" max="4864" width="55.1681415929204" style="108" customWidth="1"/>
    <col min="4865" max="4866" width="8.16814159292035" style="108" customWidth="1"/>
    <col min="4867" max="4867" width="10.1681415929204" style="108" customWidth="1"/>
    <col min="4868" max="4868" width="11.6637168141593" style="108" customWidth="1"/>
    <col min="4869" max="4869" width="12" style="108" customWidth="1"/>
    <col min="4870" max="4870" width="16.6637168141593" style="108" customWidth="1"/>
    <col min="4871" max="4871" width="8" style="108" customWidth="1"/>
    <col min="4872" max="5117" width="9.16814159292035" style="108" customWidth="1"/>
    <col min="5118" max="5118" width="25.1681415929204" style="108" customWidth="1"/>
    <col min="5119" max="5119" width="18.6637168141593" style="108" customWidth="1"/>
    <col min="5120" max="5120" width="55.1681415929204" style="108" customWidth="1"/>
    <col min="5121" max="5122" width="8.16814159292035" style="108" customWidth="1"/>
    <col min="5123" max="5123" width="10.1681415929204" style="108" customWidth="1"/>
    <col min="5124" max="5124" width="11.6637168141593" style="108" customWidth="1"/>
    <col min="5125" max="5125" width="12" style="108" customWidth="1"/>
    <col min="5126" max="5126" width="16.6637168141593" style="108" customWidth="1"/>
    <col min="5127" max="5127" width="8" style="108" customWidth="1"/>
    <col min="5128" max="5373" width="9.16814159292035" style="108" customWidth="1"/>
    <col min="5374" max="5374" width="25.1681415929204" style="108" customWidth="1"/>
    <col min="5375" max="5375" width="18.6637168141593" style="108" customWidth="1"/>
    <col min="5376" max="5376" width="55.1681415929204" style="108" customWidth="1"/>
    <col min="5377" max="5378" width="8.16814159292035" style="108" customWidth="1"/>
    <col min="5379" max="5379" width="10.1681415929204" style="108" customWidth="1"/>
    <col min="5380" max="5380" width="11.6637168141593" style="108" customWidth="1"/>
    <col min="5381" max="5381" width="12" style="108" customWidth="1"/>
    <col min="5382" max="5382" width="16.6637168141593" style="108" customWidth="1"/>
    <col min="5383" max="5383" width="8" style="108" customWidth="1"/>
    <col min="5384" max="5629" width="9.16814159292035" style="108" customWidth="1"/>
    <col min="5630" max="5630" width="25.1681415929204" style="108" customWidth="1"/>
    <col min="5631" max="5631" width="18.6637168141593" style="108" customWidth="1"/>
    <col min="5632" max="5632" width="55.1681415929204" style="108" customWidth="1"/>
    <col min="5633" max="5634" width="8.16814159292035" style="108" customWidth="1"/>
    <col min="5635" max="5635" width="10.1681415929204" style="108" customWidth="1"/>
    <col min="5636" max="5636" width="11.6637168141593" style="108" customWidth="1"/>
    <col min="5637" max="5637" width="12" style="108" customWidth="1"/>
    <col min="5638" max="5638" width="16.6637168141593" style="108" customWidth="1"/>
    <col min="5639" max="5639" width="8" style="108" customWidth="1"/>
    <col min="5640" max="5885" width="9.16814159292035" style="108" customWidth="1"/>
    <col min="5886" max="5886" width="25.1681415929204" style="108" customWidth="1"/>
    <col min="5887" max="5887" width="18.6637168141593" style="108" customWidth="1"/>
    <col min="5888" max="5888" width="55.1681415929204" style="108" customWidth="1"/>
    <col min="5889" max="5890" width="8.16814159292035" style="108" customWidth="1"/>
    <col min="5891" max="5891" width="10.1681415929204" style="108" customWidth="1"/>
    <col min="5892" max="5892" width="11.6637168141593" style="108" customWidth="1"/>
    <col min="5893" max="5893" width="12" style="108" customWidth="1"/>
    <col min="5894" max="5894" width="16.6637168141593" style="108" customWidth="1"/>
    <col min="5895" max="5895" width="8" style="108" customWidth="1"/>
    <col min="5896" max="6141" width="9.16814159292035" style="108" customWidth="1"/>
    <col min="6142" max="6142" width="25.1681415929204" style="108" customWidth="1"/>
    <col min="6143" max="6143" width="18.6637168141593" style="108" customWidth="1"/>
    <col min="6144" max="6144" width="55.1681415929204" style="108" customWidth="1"/>
    <col min="6145" max="6146" width="8.16814159292035" style="108" customWidth="1"/>
    <col min="6147" max="6147" width="10.1681415929204" style="108" customWidth="1"/>
    <col min="6148" max="6148" width="11.6637168141593" style="108" customWidth="1"/>
    <col min="6149" max="6149" width="12" style="108" customWidth="1"/>
    <col min="6150" max="6150" width="16.6637168141593" style="108" customWidth="1"/>
    <col min="6151" max="6151" width="8" style="108" customWidth="1"/>
    <col min="6152" max="6397" width="9.16814159292035" style="108" customWidth="1"/>
    <col min="6398" max="6398" width="25.1681415929204" style="108" customWidth="1"/>
    <col min="6399" max="6399" width="18.6637168141593" style="108" customWidth="1"/>
    <col min="6400" max="6400" width="55.1681415929204" style="108" customWidth="1"/>
    <col min="6401" max="6402" width="8.16814159292035" style="108" customWidth="1"/>
    <col min="6403" max="6403" width="10.1681415929204" style="108" customWidth="1"/>
    <col min="6404" max="6404" width="11.6637168141593" style="108" customWidth="1"/>
    <col min="6405" max="6405" width="12" style="108" customWidth="1"/>
    <col min="6406" max="6406" width="16.6637168141593" style="108" customWidth="1"/>
    <col min="6407" max="6407" width="8" style="108" customWidth="1"/>
    <col min="6408" max="6653" width="9.16814159292035" style="108" customWidth="1"/>
    <col min="6654" max="6654" width="25.1681415929204" style="108" customWidth="1"/>
    <col min="6655" max="6655" width="18.6637168141593" style="108" customWidth="1"/>
    <col min="6656" max="6656" width="55.1681415929204" style="108" customWidth="1"/>
    <col min="6657" max="6658" width="8.16814159292035" style="108" customWidth="1"/>
    <col min="6659" max="6659" width="10.1681415929204" style="108" customWidth="1"/>
    <col min="6660" max="6660" width="11.6637168141593" style="108" customWidth="1"/>
    <col min="6661" max="6661" width="12" style="108" customWidth="1"/>
    <col min="6662" max="6662" width="16.6637168141593" style="108" customWidth="1"/>
    <col min="6663" max="6663" width="8" style="108" customWidth="1"/>
    <col min="6664" max="6909" width="9.16814159292035" style="108" customWidth="1"/>
    <col min="6910" max="6910" width="25.1681415929204" style="108" customWidth="1"/>
    <col min="6911" max="6911" width="18.6637168141593" style="108" customWidth="1"/>
    <col min="6912" max="6912" width="55.1681415929204" style="108" customWidth="1"/>
    <col min="6913" max="6914" width="8.16814159292035" style="108" customWidth="1"/>
    <col min="6915" max="6915" width="10.1681415929204" style="108" customWidth="1"/>
    <col min="6916" max="6916" width="11.6637168141593" style="108" customWidth="1"/>
    <col min="6917" max="6917" width="12" style="108" customWidth="1"/>
    <col min="6918" max="6918" width="16.6637168141593" style="108" customWidth="1"/>
    <col min="6919" max="6919" width="8" style="108" customWidth="1"/>
    <col min="6920" max="7165" width="9.16814159292035" style="108" customWidth="1"/>
    <col min="7166" max="7166" width="25.1681415929204" style="108" customWidth="1"/>
    <col min="7167" max="7167" width="18.6637168141593" style="108" customWidth="1"/>
    <col min="7168" max="7168" width="55.1681415929204" style="108" customWidth="1"/>
    <col min="7169" max="7170" width="8.16814159292035" style="108" customWidth="1"/>
    <col min="7171" max="7171" width="10.1681415929204" style="108" customWidth="1"/>
    <col min="7172" max="7172" width="11.6637168141593" style="108" customWidth="1"/>
    <col min="7173" max="7173" width="12" style="108" customWidth="1"/>
    <col min="7174" max="7174" width="16.6637168141593" style="108" customWidth="1"/>
    <col min="7175" max="7175" width="8" style="108" customWidth="1"/>
    <col min="7176" max="7421" width="9.16814159292035" style="108" customWidth="1"/>
    <col min="7422" max="7422" width="25.1681415929204" style="108" customWidth="1"/>
    <col min="7423" max="7423" width="18.6637168141593" style="108" customWidth="1"/>
    <col min="7424" max="7424" width="55.1681415929204" style="108" customWidth="1"/>
    <col min="7425" max="7426" width="8.16814159292035" style="108" customWidth="1"/>
    <col min="7427" max="7427" width="10.1681415929204" style="108" customWidth="1"/>
    <col min="7428" max="7428" width="11.6637168141593" style="108" customWidth="1"/>
    <col min="7429" max="7429" width="12" style="108" customWidth="1"/>
    <col min="7430" max="7430" width="16.6637168141593" style="108" customWidth="1"/>
    <col min="7431" max="7431" width="8" style="108" customWidth="1"/>
    <col min="7432" max="7677" width="9.16814159292035" style="108" customWidth="1"/>
    <col min="7678" max="7678" width="25.1681415929204" style="108" customWidth="1"/>
    <col min="7679" max="7679" width="18.6637168141593" style="108" customWidth="1"/>
    <col min="7680" max="7680" width="55.1681415929204" style="108" customWidth="1"/>
    <col min="7681" max="7682" width="8.16814159292035" style="108" customWidth="1"/>
    <col min="7683" max="7683" width="10.1681415929204" style="108" customWidth="1"/>
    <col min="7684" max="7684" width="11.6637168141593" style="108" customWidth="1"/>
    <col min="7685" max="7685" width="12" style="108" customWidth="1"/>
    <col min="7686" max="7686" width="16.6637168141593" style="108" customWidth="1"/>
    <col min="7687" max="7687" width="8" style="108" customWidth="1"/>
    <col min="7688" max="7933" width="9.16814159292035" style="108" customWidth="1"/>
    <col min="7934" max="7934" width="25.1681415929204" style="108" customWidth="1"/>
    <col min="7935" max="7935" width="18.6637168141593" style="108" customWidth="1"/>
    <col min="7936" max="7936" width="55.1681415929204" style="108" customWidth="1"/>
    <col min="7937" max="7938" width="8.16814159292035" style="108" customWidth="1"/>
    <col min="7939" max="7939" width="10.1681415929204" style="108" customWidth="1"/>
    <col min="7940" max="7940" width="11.6637168141593" style="108" customWidth="1"/>
    <col min="7941" max="7941" width="12" style="108" customWidth="1"/>
    <col min="7942" max="7942" width="16.6637168141593" style="108" customWidth="1"/>
    <col min="7943" max="7943" width="8" style="108" customWidth="1"/>
    <col min="7944" max="8189" width="9.16814159292035" style="108" customWidth="1"/>
    <col min="8190" max="8190" width="25.1681415929204" style="108" customWidth="1"/>
    <col min="8191" max="8191" width="18.6637168141593" style="108" customWidth="1"/>
    <col min="8192" max="8192" width="55.1681415929204" style="108" customWidth="1"/>
    <col min="8193" max="8194" width="8.16814159292035" style="108" customWidth="1"/>
    <col min="8195" max="8195" width="10.1681415929204" style="108" customWidth="1"/>
    <col min="8196" max="8196" width="11.6637168141593" style="108" customWidth="1"/>
    <col min="8197" max="8197" width="12" style="108" customWidth="1"/>
    <col min="8198" max="8198" width="16.6637168141593" style="108" customWidth="1"/>
    <col min="8199" max="8199" width="8" style="108" customWidth="1"/>
    <col min="8200" max="8445" width="9.16814159292035" style="108" customWidth="1"/>
    <col min="8446" max="8446" width="25.1681415929204" style="108" customWidth="1"/>
    <col min="8447" max="8447" width="18.6637168141593" style="108" customWidth="1"/>
    <col min="8448" max="8448" width="55.1681415929204" style="108" customWidth="1"/>
    <col min="8449" max="8450" width="8.16814159292035" style="108" customWidth="1"/>
    <col min="8451" max="8451" width="10.1681415929204" style="108" customWidth="1"/>
    <col min="8452" max="8452" width="11.6637168141593" style="108" customWidth="1"/>
    <col min="8453" max="8453" width="12" style="108" customWidth="1"/>
    <col min="8454" max="8454" width="16.6637168141593" style="108" customWidth="1"/>
    <col min="8455" max="8455" width="8" style="108" customWidth="1"/>
    <col min="8456" max="8701" width="9.16814159292035" style="108" customWidth="1"/>
    <col min="8702" max="8702" width="25.1681415929204" style="108" customWidth="1"/>
    <col min="8703" max="8703" width="18.6637168141593" style="108" customWidth="1"/>
    <col min="8704" max="8704" width="55.1681415929204" style="108" customWidth="1"/>
    <col min="8705" max="8706" width="8.16814159292035" style="108" customWidth="1"/>
    <col min="8707" max="8707" width="10.1681415929204" style="108" customWidth="1"/>
    <col min="8708" max="8708" width="11.6637168141593" style="108" customWidth="1"/>
    <col min="8709" max="8709" width="12" style="108" customWidth="1"/>
    <col min="8710" max="8710" width="16.6637168141593" style="108" customWidth="1"/>
    <col min="8711" max="8711" width="8" style="108" customWidth="1"/>
    <col min="8712" max="8957" width="9.16814159292035" style="108" customWidth="1"/>
    <col min="8958" max="8958" width="25.1681415929204" style="108" customWidth="1"/>
    <col min="8959" max="8959" width="18.6637168141593" style="108" customWidth="1"/>
    <col min="8960" max="8960" width="55.1681415929204" style="108" customWidth="1"/>
    <col min="8961" max="8962" width="8.16814159292035" style="108" customWidth="1"/>
    <col min="8963" max="8963" width="10.1681415929204" style="108" customWidth="1"/>
    <col min="8964" max="8964" width="11.6637168141593" style="108" customWidth="1"/>
    <col min="8965" max="8965" width="12" style="108" customWidth="1"/>
    <col min="8966" max="8966" width="16.6637168141593" style="108" customWidth="1"/>
    <col min="8967" max="8967" width="8" style="108" customWidth="1"/>
    <col min="8968" max="9213" width="9.16814159292035" style="108" customWidth="1"/>
    <col min="9214" max="9214" width="25.1681415929204" style="108" customWidth="1"/>
    <col min="9215" max="9215" width="18.6637168141593" style="108" customWidth="1"/>
    <col min="9216" max="9216" width="55.1681415929204" style="108" customWidth="1"/>
    <col min="9217" max="9218" width="8.16814159292035" style="108" customWidth="1"/>
    <col min="9219" max="9219" width="10.1681415929204" style="108" customWidth="1"/>
    <col min="9220" max="9220" width="11.6637168141593" style="108" customWidth="1"/>
    <col min="9221" max="9221" width="12" style="108" customWidth="1"/>
    <col min="9222" max="9222" width="16.6637168141593" style="108" customWidth="1"/>
    <col min="9223" max="9223" width="8" style="108" customWidth="1"/>
    <col min="9224" max="9469" width="9.16814159292035" style="108" customWidth="1"/>
    <col min="9470" max="9470" width="25.1681415929204" style="108" customWidth="1"/>
    <col min="9471" max="9471" width="18.6637168141593" style="108" customWidth="1"/>
    <col min="9472" max="9472" width="55.1681415929204" style="108" customWidth="1"/>
    <col min="9473" max="9474" width="8.16814159292035" style="108" customWidth="1"/>
    <col min="9475" max="9475" width="10.1681415929204" style="108" customWidth="1"/>
    <col min="9476" max="9476" width="11.6637168141593" style="108" customWidth="1"/>
    <col min="9477" max="9477" width="12" style="108" customWidth="1"/>
    <col min="9478" max="9478" width="16.6637168141593" style="108" customWidth="1"/>
    <col min="9479" max="9479" width="8" style="108" customWidth="1"/>
    <col min="9480" max="9725" width="9.16814159292035" style="108" customWidth="1"/>
    <col min="9726" max="9726" width="25.1681415929204" style="108" customWidth="1"/>
    <col min="9727" max="9727" width="18.6637168141593" style="108" customWidth="1"/>
    <col min="9728" max="9728" width="55.1681415929204" style="108" customWidth="1"/>
    <col min="9729" max="9730" width="8.16814159292035" style="108" customWidth="1"/>
    <col min="9731" max="9731" width="10.1681415929204" style="108" customWidth="1"/>
    <col min="9732" max="9732" width="11.6637168141593" style="108" customWidth="1"/>
    <col min="9733" max="9733" width="12" style="108" customWidth="1"/>
    <col min="9734" max="9734" width="16.6637168141593" style="108" customWidth="1"/>
    <col min="9735" max="9735" width="8" style="108" customWidth="1"/>
    <col min="9736" max="9981" width="9.16814159292035" style="108" customWidth="1"/>
    <col min="9982" max="9982" width="25.1681415929204" style="108" customWidth="1"/>
    <col min="9983" max="9983" width="18.6637168141593" style="108" customWidth="1"/>
    <col min="9984" max="9984" width="55.1681415929204" style="108" customWidth="1"/>
    <col min="9985" max="9986" width="8.16814159292035" style="108" customWidth="1"/>
    <col min="9987" max="9987" width="10.1681415929204" style="108" customWidth="1"/>
    <col min="9988" max="9988" width="11.6637168141593" style="108" customWidth="1"/>
    <col min="9989" max="9989" width="12" style="108" customWidth="1"/>
    <col min="9990" max="9990" width="16.6637168141593" style="108" customWidth="1"/>
    <col min="9991" max="9991" width="8" style="108" customWidth="1"/>
    <col min="9992" max="10237" width="9.16814159292035" style="108" customWidth="1"/>
    <col min="10238" max="10238" width="25.1681415929204" style="108" customWidth="1"/>
    <col min="10239" max="10239" width="18.6637168141593" style="108" customWidth="1"/>
    <col min="10240" max="10240" width="55.1681415929204" style="108" customWidth="1"/>
    <col min="10241" max="10242" width="8.16814159292035" style="108" customWidth="1"/>
    <col min="10243" max="10243" width="10.1681415929204" style="108" customWidth="1"/>
    <col min="10244" max="10244" width="11.6637168141593" style="108" customWidth="1"/>
    <col min="10245" max="10245" width="12" style="108" customWidth="1"/>
    <col min="10246" max="10246" width="16.6637168141593" style="108" customWidth="1"/>
    <col min="10247" max="10247" width="8" style="108" customWidth="1"/>
    <col min="10248" max="10493" width="9.16814159292035" style="108" customWidth="1"/>
    <col min="10494" max="10494" width="25.1681415929204" style="108" customWidth="1"/>
    <col min="10495" max="10495" width="18.6637168141593" style="108" customWidth="1"/>
    <col min="10496" max="10496" width="55.1681415929204" style="108" customWidth="1"/>
    <col min="10497" max="10498" width="8.16814159292035" style="108" customWidth="1"/>
    <col min="10499" max="10499" width="10.1681415929204" style="108" customWidth="1"/>
    <col min="10500" max="10500" width="11.6637168141593" style="108" customWidth="1"/>
    <col min="10501" max="10501" width="12" style="108" customWidth="1"/>
    <col min="10502" max="10502" width="16.6637168141593" style="108" customWidth="1"/>
    <col min="10503" max="10503" width="8" style="108" customWidth="1"/>
    <col min="10504" max="10749" width="9.16814159292035" style="108" customWidth="1"/>
    <col min="10750" max="10750" width="25.1681415929204" style="108" customWidth="1"/>
    <col min="10751" max="10751" width="18.6637168141593" style="108" customWidth="1"/>
    <col min="10752" max="10752" width="55.1681415929204" style="108" customWidth="1"/>
    <col min="10753" max="10754" width="8.16814159292035" style="108" customWidth="1"/>
    <col min="10755" max="10755" width="10.1681415929204" style="108" customWidth="1"/>
    <col min="10756" max="10756" width="11.6637168141593" style="108" customWidth="1"/>
    <col min="10757" max="10757" width="12" style="108" customWidth="1"/>
    <col min="10758" max="10758" width="16.6637168141593" style="108" customWidth="1"/>
    <col min="10759" max="10759" width="8" style="108" customWidth="1"/>
    <col min="10760" max="11005" width="9.16814159292035" style="108" customWidth="1"/>
    <col min="11006" max="11006" width="25.1681415929204" style="108" customWidth="1"/>
    <col min="11007" max="11007" width="18.6637168141593" style="108" customWidth="1"/>
    <col min="11008" max="11008" width="55.1681415929204" style="108" customWidth="1"/>
    <col min="11009" max="11010" width="8.16814159292035" style="108" customWidth="1"/>
    <col min="11011" max="11011" width="10.1681415929204" style="108" customWidth="1"/>
    <col min="11012" max="11012" width="11.6637168141593" style="108" customWidth="1"/>
    <col min="11013" max="11013" width="12" style="108" customWidth="1"/>
    <col min="11014" max="11014" width="16.6637168141593" style="108" customWidth="1"/>
    <col min="11015" max="11015" width="8" style="108" customWidth="1"/>
    <col min="11016" max="11261" width="9.16814159292035" style="108" customWidth="1"/>
    <col min="11262" max="11262" width="25.1681415929204" style="108" customWidth="1"/>
    <col min="11263" max="11263" width="18.6637168141593" style="108" customWidth="1"/>
    <col min="11264" max="11264" width="55.1681415929204" style="108" customWidth="1"/>
    <col min="11265" max="11266" width="8.16814159292035" style="108" customWidth="1"/>
    <col min="11267" max="11267" width="10.1681415929204" style="108" customWidth="1"/>
    <col min="11268" max="11268" width="11.6637168141593" style="108" customWidth="1"/>
    <col min="11269" max="11269" width="12" style="108" customWidth="1"/>
    <col min="11270" max="11270" width="16.6637168141593" style="108" customWidth="1"/>
    <col min="11271" max="11271" width="8" style="108" customWidth="1"/>
    <col min="11272" max="11517" width="9.16814159292035" style="108" customWidth="1"/>
    <col min="11518" max="11518" width="25.1681415929204" style="108" customWidth="1"/>
    <col min="11519" max="11519" width="18.6637168141593" style="108" customWidth="1"/>
    <col min="11520" max="11520" width="55.1681415929204" style="108" customWidth="1"/>
    <col min="11521" max="11522" width="8.16814159292035" style="108" customWidth="1"/>
    <col min="11523" max="11523" width="10.1681415929204" style="108" customWidth="1"/>
    <col min="11524" max="11524" width="11.6637168141593" style="108" customWidth="1"/>
    <col min="11525" max="11525" width="12" style="108" customWidth="1"/>
    <col min="11526" max="11526" width="16.6637168141593" style="108" customWidth="1"/>
    <col min="11527" max="11527" width="8" style="108" customWidth="1"/>
    <col min="11528" max="11773" width="9.16814159292035" style="108" customWidth="1"/>
    <col min="11774" max="11774" width="25.1681415929204" style="108" customWidth="1"/>
    <col min="11775" max="11775" width="18.6637168141593" style="108" customWidth="1"/>
    <col min="11776" max="11776" width="55.1681415929204" style="108" customWidth="1"/>
    <col min="11777" max="11778" width="8.16814159292035" style="108" customWidth="1"/>
    <col min="11779" max="11779" width="10.1681415929204" style="108" customWidth="1"/>
    <col min="11780" max="11780" width="11.6637168141593" style="108" customWidth="1"/>
    <col min="11781" max="11781" width="12" style="108" customWidth="1"/>
    <col min="11782" max="11782" width="16.6637168141593" style="108" customWidth="1"/>
    <col min="11783" max="11783" width="8" style="108" customWidth="1"/>
    <col min="11784" max="12029" width="9.16814159292035" style="108" customWidth="1"/>
    <col min="12030" max="12030" width="25.1681415929204" style="108" customWidth="1"/>
    <col min="12031" max="12031" width="18.6637168141593" style="108" customWidth="1"/>
    <col min="12032" max="12032" width="55.1681415929204" style="108" customWidth="1"/>
    <col min="12033" max="12034" width="8.16814159292035" style="108" customWidth="1"/>
    <col min="12035" max="12035" width="10.1681415929204" style="108" customWidth="1"/>
    <col min="12036" max="12036" width="11.6637168141593" style="108" customWidth="1"/>
    <col min="12037" max="12037" width="12" style="108" customWidth="1"/>
    <col min="12038" max="12038" width="16.6637168141593" style="108" customWidth="1"/>
    <col min="12039" max="12039" width="8" style="108" customWidth="1"/>
    <col min="12040" max="12285" width="9.16814159292035" style="108" customWidth="1"/>
    <col min="12286" max="12286" width="25.1681415929204" style="108" customWidth="1"/>
    <col min="12287" max="12287" width="18.6637168141593" style="108" customWidth="1"/>
    <col min="12288" max="12288" width="55.1681415929204" style="108" customWidth="1"/>
    <col min="12289" max="12290" width="8.16814159292035" style="108" customWidth="1"/>
    <col min="12291" max="12291" width="10.1681415929204" style="108" customWidth="1"/>
    <col min="12292" max="12292" width="11.6637168141593" style="108" customWidth="1"/>
    <col min="12293" max="12293" width="12" style="108" customWidth="1"/>
    <col min="12294" max="12294" width="16.6637168141593" style="108" customWidth="1"/>
    <col min="12295" max="12295" width="8" style="108" customWidth="1"/>
    <col min="12296" max="12541" width="9.16814159292035" style="108" customWidth="1"/>
    <col min="12542" max="12542" width="25.1681415929204" style="108" customWidth="1"/>
    <col min="12543" max="12543" width="18.6637168141593" style="108" customWidth="1"/>
    <col min="12544" max="12544" width="55.1681415929204" style="108" customWidth="1"/>
    <col min="12545" max="12546" width="8.16814159292035" style="108" customWidth="1"/>
    <col min="12547" max="12547" width="10.1681415929204" style="108" customWidth="1"/>
    <col min="12548" max="12548" width="11.6637168141593" style="108" customWidth="1"/>
    <col min="12549" max="12549" width="12" style="108" customWidth="1"/>
    <col min="12550" max="12550" width="16.6637168141593" style="108" customWidth="1"/>
    <col min="12551" max="12551" width="8" style="108" customWidth="1"/>
    <col min="12552" max="12797" width="9.16814159292035" style="108" customWidth="1"/>
    <col min="12798" max="12798" width="25.1681415929204" style="108" customWidth="1"/>
    <col min="12799" max="12799" width="18.6637168141593" style="108" customWidth="1"/>
    <col min="12800" max="12800" width="55.1681415929204" style="108" customWidth="1"/>
    <col min="12801" max="12802" width="8.16814159292035" style="108" customWidth="1"/>
    <col min="12803" max="12803" width="10.1681415929204" style="108" customWidth="1"/>
    <col min="12804" max="12804" width="11.6637168141593" style="108" customWidth="1"/>
    <col min="12805" max="12805" width="12" style="108" customWidth="1"/>
    <col min="12806" max="12806" width="16.6637168141593" style="108" customWidth="1"/>
    <col min="12807" max="12807" width="8" style="108" customWidth="1"/>
    <col min="12808" max="13053" width="9.16814159292035" style="108" customWidth="1"/>
    <col min="13054" max="13054" width="25.1681415929204" style="108" customWidth="1"/>
    <col min="13055" max="13055" width="18.6637168141593" style="108" customWidth="1"/>
    <col min="13056" max="13056" width="55.1681415929204" style="108" customWidth="1"/>
    <col min="13057" max="13058" width="8.16814159292035" style="108" customWidth="1"/>
    <col min="13059" max="13059" width="10.1681415929204" style="108" customWidth="1"/>
    <col min="13060" max="13060" width="11.6637168141593" style="108" customWidth="1"/>
    <col min="13061" max="13061" width="12" style="108" customWidth="1"/>
    <col min="13062" max="13062" width="16.6637168141593" style="108" customWidth="1"/>
    <col min="13063" max="13063" width="8" style="108" customWidth="1"/>
    <col min="13064" max="13309" width="9.16814159292035" style="108" customWidth="1"/>
    <col min="13310" max="13310" width="25.1681415929204" style="108" customWidth="1"/>
    <col min="13311" max="13311" width="18.6637168141593" style="108" customWidth="1"/>
    <col min="13312" max="13312" width="55.1681415929204" style="108" customWidth="1"/>
    <col min="13313" max="13314" width="8.16814159292035" style="108" customWidth="1"/>
    <col min="13315" max="13315" width="10.1681415929204" style="108" customWidth="1"/>
    <col min="13316" max="13316" width="11.6637168141593" style="108" customWidth="1"/>
    <col min="13317" max="13317" width="12" style="108" customWidth="1"/>
    <col min="13318" max="13318" width="16.6637168141593" style="108" customWidth="1"/>
    <col min="13319" max="13319" width="8" style="108" customWidth="1"/>
    <col min="13320" max="13565" width="9.16814159292035" style="108" customWidth="1"/>
    <col min="13566" max="13566" width="25.1681415929204" style="108" customWidth="1"/>
    <col min="13567" max="13567" width="18.6637168141593" style="108" customWidth="1"/>
    <col min="13568" max="13568" width="55.1681415929204" style="108" customWidth="1"/>
    <col min="13569" max="13570" width="8.16814159292035" style="108" customWidth="1"/>
    <col min="13571" max="13571" width="10.1681415929204" style="108" customWidth="1"/>
    <col min="13572" max="13572" width="11.6637168141593" style="108" customWidth="1"/>
    <col min="13573" max="13573" width="12" style="108" customWidth="1"/>
    <col min="13574" max="13574" width="16.6637168141593" style="108" customWidth="1"/>
    <col min="13575" max="13575" width="8" style="108" customWidth="1"/>
    <col min="13576" max="13821" width="9.16814159292035" style="108" customWidth="1"/>
    <col min="13822" max="13822" width="25.1681415929204" style="108" customWidth="1"/>
    <col min="13823" max="13823" width="18.6637168141593" style="108" customWidth="1"/>
    <col min="13824" max="13824" width="55.1681415929204" style="108" customWidth="1"/>
    <col min="13825" max="13826" width="8.16814159292035" style="108" customWidth="1"/>
    <col min="13827" max="13827" width="10.1681415929204" style="108" customWidth="1"/>
    <col min="13828" max="13828" width="11.6637168141593" style="108" customWidth="1"/>
    <col min="13829" max="13829" width="12" style="108" customWidth="1"/>
    <col min="13830" max="13830" width="16.6637168141593" style="108" customWidth="1"/>
    <col min="13831" max="13831" width="8" style="108" customWidth="1"/>
    <col min="13832" max="14077" width="9.16814159292035" style="108" customWidth="1"/>
    <col min="14078" max="14078" width="25.1681415929204" style="108" customWidth="1"/>
    <col min="14079" max="14079" width="18.6637168141593" style="108" customWidth="1"/>
    <col min="14080" max="14080" width="55.1681415929204" style="108" customWidth="1"/>
    <col min="14081" max="14082" width="8.16814159292035" style="108" customWidth="1"/>
    <col min="14083" max="14083" width="10.1681415929204" style="108" customWidth="1"/>
    <col min="14084" max="14084" width="11.6637168141593" style="108" customWidth="1"/>
    <col min="14085" max="14085" width="12" style="108" customWidth="1"/>
    <col min="14086" max="14086" width="16.6637168141593" style="108" customWidth="1"/>
    <col min="14087" max="14087" width="8" style="108" customWidth="1"/>
    <col min="14088" max="14333" width="9.16814159292035" style="108" customWidth="1"/>
    <col min="14334" max="14334" width="25.1681415929204" style="108" customWidth="1"/>
    <col min="14335" max="14335" width="18.6637168141593" style="108" customWidth="1"/>
    <col min="14336" max="14336" width="55.1681415929204" style="108" customWidth="1"/>
    <col min="14337" max="14338" width="8.16814159292035" style="108" customWidth="1"/>
    <col min="14339" max="14339" width="10.1681415929204" style="108" customWidth="1"/>
    <col min="14340" max="14340" width="11.6637168141593" style="108" customWidth="1"/>
    <col min="14341" max="14341" width="12" style="108" customWidth="1"/>
    <col min="14342" max="14342" width="16.6637168141593" style="108" customWidth="1"/>
    <col min="14343" max="14343" width="8" style="108" customWidth="1"/>
    <col min="14344" max="14589" width="9.16814159292035" style="108" customWidth="1"/>
    <col min="14590" max="14590" width="25.1681415929204" style="108" customWidth="1"/>
    <col min="14591" max="14591" width="18.6637168141593" style="108" customWidth="1"/>
    <col min="14592" max="14592" width="55.1681415929204" style="108" customWidth="1"/>
    <col min="14593" max="14594" width="8.16814159292035" style="108" customWidth="1"/>
    <col min="14595" max="14595" width="10.1681415929204" style="108" customWidth="1"/>
    <col min="14596" max="14596" width="11.6637168141593" style="108" customWidth="1"/>
    <col min="14597" max="14597" width="12" style="108" customWidth="1"/>
    <col min="14598" max="14598" width="16.6637168141593" style="108" customWidth="1"/>
    <col min="14599" max="14599" width="8" style="108" customWidth="1"/>
    <col min="14600" max="14845" width="9.16814159292035" style="108" customWidth="1"/>
    <col min="14846" max="14846" width="25.1681415929204" style="108" customWidth="1"/>
    <col min="14847" max="14847" width="18.6637168141593" style="108" customWidth="1"/>
    <col min="14848" max="14848" width="55.1681415929204" style="108" customWidth="1"/>
    <col min="14849" max="14850" width="8.16814159292035" style="108" customWidth="1"/>
    <col min="14851" max="14851" width="10.1681415929204" style="108" customWidth="1"/>
    <col min="14852" max="14852" width="11.6637168141593" style="108" customWidth="1"/>
    <col min="14853" max="14853" width="12" style="108" customWidth="1"/>
    <col min="14854" max="14854" width="16.6637168141593" style="108" customWidth="1"/>
    <col min="14855" max="14855" width="8" style="108" customWidth="1"/>
    <col min="14856" max="15101" width="9.16814159292035" style="108" customWidth="1"/>
    <col min="15102" max="15102" width="25.1681415929204" style="108" customWidth="1"/>
    <col min="15103" max="15103" width="18.6637168141593" style="108" customWidth="1"/>
    <col min="15104" max="15104" width="55.1681415929204" style="108" customWidth="1"/>
    <col min="15105" max="15106" width="8.16814159292035" style="108" customWidth="1"/>
    <col min="15107" max="15107" width="10.1681415929204" style="108" customWidth="1"/>
    <col min="15108" max="15108" width="11.6637168141593" style="108" customWidth="1"/>
    <col min="15109" max="15109" width="12" style="108" customWidth="1"/>
    <col min="15110" max="15110" width="16.6637168141593" style="108" customWidth="1"/>
    <col min="15111" max="15111" width="8" style="108" customWidth="1"/>
    <col min="15112" max="15357" width="9.16814159292035" style="108" customWidth="1"/>
    <col min="15358" max="15358" width="25.1681415929204" style="108" customWidth="1"/>
    <col min="15359" max="15359" width="18.6637168141593" style="108" customWidth="1"/>
    <col min="15360" max="15360" width="55.1681415929204" style="108" customWidth="1"/>
    <col min="15361" max="15362" width="8.16814159292035" style="108" customWidth="1"/>
    <col min="15363" max="15363" width="10.1681415929204" style="108" customWidth="1"/>
    <col min="15364" max="15364" width="11.6637168141593" style="108" customWidth="1"/>
    <col min="15365" max="15365" width="12" style="108" customWidth="1"/>
    <col min="15366" max="15366" width="16.6637168141593" style="108" customWidth="1"/>
    <col min="15367" max="15367" width="8" style="108" customWidth="1"/>
    <col min="15368" max="15613" width="9.16814159292035" style="108" customWidth="1"/>
    <col min="15614" max="15614" width="25.1681415929204" style="108" customWidth="1"/>
    <col min="15615" max="15615" width="18.6637168141593" style="108" customWidth="1"/>
    <col min="15616" max="15616" width="55.1681415929204" style="108" customWidth="1"/>
    <col min="15617" max="15618" width="8.16814159292035" style="108" customWidth="1"/>
    <col min="15619" max="15619" width="10.1681415929204" style="108" customWidth="1"/>
    <col min="15620" max="15620" width="11.6637168141593" style="108" customWidth="1"/>
    <col min="15621" max="15621" width="12" style="108" customWidth="1"/>
    <col min="15622" max="15622" width="16.6637168141593" style="108" customWidth="1"/>
    <col min="15623" max="15623" width="8" style="108" customWidth="1"/>
    <col min="15624" max="15869" width="9.16814159292035" style="108" customWidth="1"/>
    <col min="15870" max="15870" width="25.1681415929204" style="108" customWidth="1"/>
    <col min="15871" max="15871" width="18.6637168141593" style="108" customWidth="1"/>
    <col min="15872" max="15872" width="55.1681415929204" style="108" customWidth="1"/>
    <col min="15873" max="15874" width="8.16814159292035" style="108" customWidth="1"/>
    <col min="15875" max="15875" width="10.1681415929204" style="108" customWidth="1"/>
    <col min="15876" max="15876" width="11.6637168141593" style="108" customWidth="1"/>
    <col min="15877" max="15877" width="12" style="108" customWidth="1"/>
    <col min="15878" max="15878" width="16.6637168141593" style="108" customWidth="1"/>
    <col min="15879" max="15879" width="8" style="108" customWidth="1"/>
    <col min="15880" max="16125" width="9.16814159292035" style="108" customWidth="1"/>
    <col min="16126" max="16126" width="25.1681415929204" style="108" customWidth="1"/>
    <col min="16127" max="16127" width="18.6637168141593" style="108" customWidth="1"/>
    <col min="16128" max="16128" width="55.1681415929204" style="108" customWidth="1"/>
    <col min="16129" max="16130" width="8.16814159292035" style="108" customWidth="1"/>
    <col min="16131" max="16131" width="10.1681415929204" style="108" customWidth="1"/>
    <col min="16132" max="16132" width="11.6637168141593" style="108" customWidth="1"/>
    <col min="16133" max="16133" width="12" style="108" customWidth="1"/>
    <col min="16134" max="16134" width="16.6637168141593" style="108" customWidth="1"/>
    <col min="16135" max="16135" width="8" style="108" customWidth="1"/>
    <col min="16136" max="16382" width="9.16814159292035" style="108" customWidth="1"/>
    <col min="16383" max="16384" width="9.16814159292035" style="108"/>
  </cols>
  <sheetData>
    <row r="1" s="105" customFormat="1" ht="16" customHeight="1" spans="1:11">
      <c r="A1" s="70" t="s">
        <v>50</v>
      </c>
      <c r="B1" s="70" t="s">
        <v>51</v>
      </c>
      <c r="C1" s="70" t="s">
        <v>52</v>
      </c>
      <c r="D1" s="70" t="s">
        <v>53</v>
      </c>
      <c r="E1" s="70" t="s">
        <v>54</v>
      </c>
      <c r="F1" s="70" t="s">
        <v>55</v>
      </c>
      <c r="G1" s="70" t="s">
        <v>56</v>
      </c>
      <c r="H1" s="70" t="s">
        <v>57</v>
      </c>
      <c r="I1" s="70" t="s">
        <v>58</v>
      </c>
      <c r="J1" s="70" t="s">
        <v>59</v>
      </c>
    </row>
    <row r="2" ht="30" customHeight="1" spans="1:11">
      <c r="A2" s="109" t="s">
        <v>188</v>
      </c>
      <c r="B2" s="109" t="s">
        <v>38</v>
      </c>
      <c r="C2" s="122" t="s">
        <v>189</v>
      </c>
      <c r="D2" s="371" t="s">
        <v>190</v>
      </c>
      <c r="E2" s="122" t="s">
        <v>64</v>
      </c>
      <c r="F2" s="273">
        <v>4</v>
      </c>
      <c r="G2" s="85" t="s">
        <v>69</v>
      </c>
      <c r="H2" s="72">
        <v>104650</v>
      </c>
      <c r="I2" s="372"/>
      <c r="J2" s="86"/>
      <c r="K2" s="373"/>
    </row>
    <row r="3" ht="28" customHeight="1" spans="1:11">
      <c r="A3" s="109" t="s">
        <v>191</v>
      </c>
      <c r="B3" s="109" t="s">
        <v>25</v>
      </c>
      <c r="C3" s="122" t="s">
        <v>192</v>
      </c>
      <c r="D3" s="371" t="s">
        <v>193</v>
      </c>
      <c r="E3" s="122" t="s">
        <v>64</v>
      </c>
      <c r="F3" s="273">
        <v>4</v>
      </c>
      <c r="G3" s="85" t="s">
        <v>69</v>
      </c>
      <c r="H3" s="72">
        <v>22750</v>
      </c>
      <c r="I3" s="372"/>
      <c r="J3" s="86"/>
      <c r="K3" s="373"/>
    </row>
    <row r="4" ht="28" customHeight="1" spans="1:11">
      <c r="A4" s="109" t="s">
        <v>191</v>
      </c>
      <c r="B4" s="109" t="s">
        <v>25</v>
      </c>
      <c r="C4" s="122" t="s">
        <v>194</v>
      </c>
      <c r="D4" s="371" t="s">
        <v>195</v>
      </c>
      <c r="E4" s="122" t="s">
        <v>64</v>
      </c>
      <c r="F4" s="273">
        <v>4</v>
      </c>
      <c r="G4" s="85" t="s">
        <v>69</v>
      </c>
      <c r="H4" s="72">
        <v>25116</v>
      </c>
      <c r="I4" s="372"/>
      <c r="J4" s="86"/>
      <c r="K4" s="373"/>
    </row>
    <row r="5" ht="30" customHeight="1" spans="1:11">
      <c r="A5" s="109" t="s">
        <v>61</v>
      </c>
      <c r="B5" s="109" t="s">
        <v>38</v>
      </c>
      <c r="C5" s="122" t="s">
        <v>202</v>
      </c>
      <c r="D5" s="371" t="s">
        <v>203</v>
      </c>
      <c r="E5" s="122" t="s">
        <v>64</v>
      </c>
      <c r="F5" s="273">
        <v>4</v>
      </c>
      <c r="G5" s="85" t="s">
        <v>69</v>
      </c>
      <c r="H5" s="72">
        <v>140556</v>
      </c>
      <c r="I5" s="372"/>
      <c r="J5" s="86"/>
      <c r="K5" s="373"/>
    </row>
    <row r="6" ht="28" customHeight="1" spans="1:11">
      <c r="A6" s="109" t="s">
        <v>191</v>
      </c>
      <c r="B6" s="109" t="s">
        <v>25</v>
      </c>
      <c r="C6" s="122" t="s">
        <v>204</v>
      </c>
      <c r="D6" s="371" t="s">
        <v>205</v>
      </c>
      <c r="E6" s="122" t="s">
        <v>64</v>
      </c>
      <c r="F6" s="273">
        <v>4</v>
      </c>
      <c r="G6" s="85" t="s">
        <v>69</v>
      </c>
      <c r="H6" s="72">
        <v>29328</v>
      </c>
      <c r="I6" s="372"/>
      <c r="J6" s="86"/>
      <c r="K6" s="374"/>
    </row>
    <row r="7" ht="28" customHeight="1" spans="1:11">
      <c r="A7" s="109" t="s">
        <v>191</v>
      </c>
      <c r="B7" s="109" t="s">
        <v>25</v>
      </c>
      <c r="C7" s="122" t="s">
        <v>206</v>
      </c>
      <c r="D7" s="371" t="s">
        <v>207</v>
      </c>
      <c r="E7" s="122" t="s">
        <v>64</v>
      </c>
      <c r="F7" s="273">
        <v>4</v>
      </c>
      <c r="G7" s="85" t="s">
        <v>69</v>
      </c>
      <c r="H7" s="72">
        <v>35906</v>
      </c>
      <c r="I7" s="372"/>
      <c r="J7" s="86"/>
      <c r="K7" s="373"/>
    </row>
    <row r="8" ht="28" customHeight="1" spans="1:11">
      <c r="A8" s="109" t="s">
        <v>226</v>
      </c>
      <c r="B8" s="109" t="s">
        <v>28</v>
      </c>
      <c r="C8" s="122" t="s">
        <v>227</v>
      </c>
      <c r="D8" s="371" t="s">
        <v>228</v>
      </c>
      <c r="E8" s="122" t="s">
        <v>64</v>
      </c>
      <c r="F8" s="273">
        <v>4</v>
      </c>
      <c r="G8" s="85" t="s">
        <v>69</v>
      </c>
      <c r="H8" s="72">
        <v>91000</v>
      </c>
      <c r="I8" s="372"/>
      <c r="J8" s="86"/>
      <c r="K8" s="373"/>
    </row>
    <row r="9" ht="30" customHeight="1" spans="1:11">
      <c r="A9" s="109" t="s">
        <v>196</v>
      </c>
      <c r="B9" s="109" t="s">
        <v>40</v>
      </c>
      <c r="C9" s="122" t="s">
        <v>229</v>
      </c>
      <c r="D9" s="371" t="s">
        <v>230</v>
      </c>
      <c r="E9" s="122" t="s">
        <v>64</v>
      </c>
      <c r="F9" s="273">
        <v>4</v>
      </c>
      <c r="G9" s="85" t="s">
        <v>69</v>
      </c>
      <c r="H9" s="72">
        <v>529000</v>
      </c>
      <c r="I9" s="372"/>
      <c r="J9" s="86"/>
      <c r="K9" s="373"/>
    </row>
    <row r="10" ht="28" customHeight="1" spans="1:11">
      <c r="A10" s="109" t="s">
        <v>231</v>
      </c>
      <c r="B10" s="109" t="s">
        <v>232</v>
      </c>
      <c r="C10" s="122" t="s">
        <v>233</v>
      </c>
      <c r="D10" s="371" t="s">
        <v>234</v>
      </c>
      <c r="E10" s="122" t="s">
        <v>64</v>
      </c>
      <c r="F10" s="273">
        <v>4</v>
      </c>
      <c r="G10" s="85" t="s">
        <v>69</v>
      </c>
      <c r="H10" s="72">
        <v>5060</v>
      </c>
      <c r="I10" s="372"/>
      <c r="J10" s="86"/>
      <c r="K10" s="374"/>
    </row>
    <row r="11" ht="28" customHeight="1" spans="1:11">
      <c r="A11" s="109" t="s">
        <v>235</v>
      </c>
      <c r="B11" s="109" t="s">
        <v>236</v>
      </c>
      <c r="C11" s="122" t="s">
        <v>237</v>
      </c>
      <c r="D11" s="371" t="s">
        <v>238</v>
      </c>
      <c r="E11" s="122" t="s">
        <v>64</v>
      </c>
      <c r="F11" s="273">
        <v>4</v>
      </c>
      <c r="G11" s="85" t="s">
        <v>69</v>
      </c>
      <c r="H11" s="72">
        <v>9200</v>
      </c>
      <c r="I11" s="372"/>
      <c r="J11" s="86"/>
      <c r="K11" s="373"/>
    </row>
    <row r="12" ht="15" customHeight="1" spans="1:11">
      <c r="A12" s="109" t="s">
        <v>239</v>
      </c>
      <c r="B12" s="109" t="s">
        <v>240</v>
      </c>
      <c r="C12" s="122" t="s">
        <v>241</v>
      </c>
      <c r="D12" s="371" t="s">
        <v>242</v>
      </c>
      <c r="E12" s="122" t="s">
        <v>64</v>
      </c>
      <c r="F12" s="273">
        <v>4</v>
      </c>
      <c r="G12" s="85" t="s">
        <v>69</v>
      </c>
      <c r="H12" s="72">
        <v>31050</v>
      </c>
      <c r="I12" s="372"/>
      <c r="J12" s="86"/>
      <c r="K12" s="374"/>
    </row>
    <row r="13" ht="30" customHeight="1" spans="1:11">
      <c r="A13" s="109" t="s">
        <v>239</v>
      </c>
      <c r="B13" s="109" t="s">
        <v>240</v>
      </c>
      <c r="C13" s="122" t="s">
        <v>243</v>
      </c>
      <c r="D13" s="371" t="s">
        <v>244</v>
      </c>
      <c r="E13" s="122" t="s">
        <v>64</v>
      </c>
      <c r="F13" s="273">
        <v>4</v>
      </c>
      <c r="G13" s="85" t="s">
        <v>69</v>
      </c>
      <c r="H13" s="72">
        <v>22540</v>
      </c>
      <c r="I13" s="372"/>
      <c r="J13" s="86"/>
      <c r="K13" s="374"/>
    </row>
    <row r="14" ht="30" customHeight="1" spans="1:11">
      <c r="A14" s="109" t="s">
        <v>239</v>
      </c>
      <c r="B14" s="109" t="s">
        <v>240</v>
      </c>
      <c r="C14" s="122" t="s">
        <v>245</v>
      </c>
      <c r="D14" s="371" t="s">
        <v>246</v>
      </c>
      <c r="E14" s="122" t="s">
        <v>64</v>
      </c>
      <c r="F14" s="273">
        <v>4</v>
      </c>
      <c r="G14" s="85" t="s">
        <v>69</v>
      </c>
      <c r="H14" s="72">
        <v>24955</v>
      </c>
      <c r="I14" s="372"/>
      <c r="J14" s="86"/>
      <c r="K14" s="373"/>
    </row>
    <row r="15" ht="30" customHeight="1" spans="1:11">
      <c r="A15" s="109" t="s">
        <v>247</v>
      </c>
      <c r="B15" s="109" t="s">
        <v>240</v>
      </c>
      <c r="C15" s="122" t="s">
        <v>248</v>
      </c>
      <c r="D15" s="371" t="s">
        <v>249</v>
      </c>
      <c r="E15" s="122" t="s">
        <v>64</v>
      </c>
      <c r="F15" s="273">
        <v>4</v>
      </c>
      <c r="G15" s="85" t="s">
        <v>69</v>
      </c>
      <c r="H15" s="72">
        <v>18055</v>
      </c>
      <c r="I15" s="372"/>
      <c r="J15" s="86"/>
      <c r="K15" s="373"/>
    </row>
    <row r="16" ht="30" customHeight="1" spans="1:11">
      <c r="A16" s="109" t="s">
        <v>247</v>
      </c>
      <c r="B16" s="109" t="s">
        <v>240</v>
      </c>
      <c r="C16" s="122" t="s">
        <v>250</v>
      </c>
      <c r="D16" s="371" t="s">
        <v>251</v>
      </c>
      <c r="E16" s="122" t="s">
        <v>64</v>
      </c>
      <c r="F16" s="273">
        <v>4</v>
      </c>
      <c r="G16" s="85" t="s">
        <v>69</v>
      </c>
      <c r="H16" s="72">
        <v>33396</v>
      </c>
      <c r="I16" s="372"/>
      <c r="J16" s="86"/>
      <c r="K16" s="373"/>
    </row>
    <row r="17" ht="28" customHeight="1" spans="1:11">
      <c r="A17" s="109" t="s">
        <v>252</v>
      </c>
      <c r="B17" s="109" t="s">
        <v>232</v>
      </c>
      <c r="C17" s="122" t="s">
        <v>253</v>
      </c>
      <c r="D17" s="371" t="s">
        <v>254</v>
      </c>
      <c r="E17" s="122" t="s">
        <v>64</v>
      </c>
      <c r="F17" s="273">
        <v>4</v>
      </c>
      <c r="G17" s="85" t="s">
        <v>69</v>
      </c>
      <c r="H17" s="72">
        <v>1564</v>
      </c>
      <c r="I17" s="372"/>
      <c r="J17" s="86"/>
      <c r="K17" s="373"/>
    </row>
    <row r="18" ht="28" customHeight="1" spans="1:11">
      <c r="A18" s="109" t="s">
        <v>252</v>
      </c>
      <c r="B18" s="109" t="s">
        <v>232</v>
      </c>
      <c r="C18" s="122" t="s">
        <v>255</v>
      </c>
      <c r="D18" s="371" t="s">
        <v>256</v>
      </c>
      <c r="E18" s="122" t="s">
        <v>64</v>
      </c>
      <c r="F18" s="273">
        <v>4</v>
      </c>
      <c r="G18" s="85" t="s">
        <v>69</v>
      </c>
      <c r="H18" s="72">
        <v>5290</v>
      </c>
      <c r="I18" s="372"/>
      <c r="J18" s="86"/>
      <c r="K18" s="373"/>
    </row>
    <row r="19" ht="15" customHeight="1" spans="1:11">
      <c r="A19" s="109" t="s">
        <v>257</v>
      </c>
      <c r="B19" s="109" t="s">
        <v>258</v>
      </c>
      <c r="C19" s="122" t="s">
        <v>259</v>
      </c>
      <c r="D19" s="371" t="s">
        <v>260</v>
      </c>
      <c r="E19" s="122" t="s">
        <v>64</v>
      </c>
      <c r="F19" s="273">
        <v>4</v>
      </c>
      <c r="G19" s="85" t="s">
        <v>69</v>
      </c>
      <c r="H19" s="72">
        <v>2208</v>
      </c>
      <c r="I19" s="372"/>
      <c r="J19" s="86"/>
      <c r="K19" s="373"/>
    </row>
    <row r="20" ht="15" customHeight="1" spans="1:11">
      <c r="A20" s="109" t="s">
        <v>257</v>
      </c>
      <c r="B20" s="109" t="s">
        <v>258</v>
      </c>
      <c r="C20" s="122" t="s">
        <v>261</v>
      </c>
      <c r="D20" s="371" t="s">
        <v>262</v>
      </c>
      <c r="E20" s="122" t="s">
        <v>64</v>
      </c>
      <c r="F20" s="273">
        <v>4</v>
      </c>
      <c r="G20" s="85" t="s">
        <v>69</v>
      </c>
      <c r="H20" s="72">
        <v>3956</v>
      </c>
      <c r="I20" s="372"/>
      <c r="J20" s="86"/>
      <c r="K20" s="373"/>
    </row>
    <row r="21" ht="15" customHeight="1" spans="1:11">
      <c r="A21" s="109" t="s">
        <v>257</v>
      </c>
      <c r="B21" s="109" t="s">
        <v>258</v>
      </c>
      <c r="C21" s="122" t="s">
        <v>263</v>
      </c>
      <c r="D21" s="371" t="s">
        <v>264</v>
      </c>
      <c r="E21" s="122" t="s">
        <v>64</v>
      </c>
      <c r="F21" s="273">
        <v>4</v>
      </c>
      <c r="G21" s="85" t="s">
        <v>69</v>
      </c>
      <c r="H21" s="72">
        <v>7337</v>
      </c>
      <c r="I21" s="372"/>
      <c r="J21" s="86"/>
      <c r="K21" s="373"/>
    </row>
    <row r="22" ht="15" customHeight="1" spans="1:11">
      <c r="A22" s="109" t="s">
        <v>257</v>
      </c>
      <c r="B22" s="109" t="s">
        <v>258</v>
      </c>
      <c r="C22" s="122" t="s">
        <v>265</v>
      </c>
      <c r="D22" s="371" t="s">
        <v>266</v>
      </c>
      <c r="E22" s="122" t="s">
        <v>64</v>
      </c>
      <c r="F22" s="273">
        <v>4</v>
      </c>
      <c r="G22" s="85" t="s">
        <v>69</v>
      </c>
      <c r="H22" s="72">
        <v>7061</v>
      </c>
      <c r="I22" s="372"/>
      <c r="J22" s="86"/>
      <c r="K22" s="373"/>
    </row>
    <row r="23" ht="15" customHeight="1" spans="1:11">
      <c r="A23" s="109" t="s">
        <v>257</v>
      </c>
      <c r="B23" s="109" t="s">
        <v>258</v>
      </c>
      <c r="C23" s="122" t="s">
        <v>267</v>
      </c>
      <c r="D23" s="371" t="s">
        <v>268</v>
      </c>
      <c r="E23" s="122" t="s">
        <v>64</v>
      </c>
      <c r="F23" s="273">
        <v>4</v>
      </c>
      <c r="G23" s="85" t="s">
        <v>65</v>
      </c>
      <c r="H23" s="72">
        <v>13616</v>
      </c>
      <c r="I23" s="372"/>
      <c r="J23" s="86"/>
      <c r="K23" s="373"/>
    </row>
    <row r="24" ht="15" customHeight="1" spans="1:11">
      <c r="A24" s="109" t="s">
        <v>257</v>
      </c>
      <c r="B24" s="109" t="s">
        <v>258</v>
      </c>
      <c r="C24" s="122" t="s">
        <v>269</v>
      </c>
      <c r="D24" s="371" t="s">
        <v>270</v>
      </c>
      <c r="E24" s="122" t="s">
        <v>64</v>
      </c>
      <c r="F24" s="273">
        <v>4</v>
      </c>
      <c r="G24" s="85" t="s">
        <v>69</v>
      </c>
      <c r="H24" s="72">
        <v>4876</v>
      </c>
      <c r="I24" s="372"/>
      <c r="J24" s="86"/>
    </row>
    <row r="25" ht="15" customHeight="1" spans="1:11">
      <c r="A25" s="109" t="s">
        <v>257</v>
      </c>
      <c r="B25" s="109" t="s">
        <v>258</v>
      </c>
      <c r="C25" s="122" t="s">
        <v>271</v>
      </c>
      <c r="D25" s="371" t="s">
        <v>272</v>
      </c>
      <c r="E25" s="122" t="s">
        <v>64</v>
      </c>
      <c r="F25" s="273">
        <v>4</v>
      </c>
      <c r="G25" s="85" t="s">
        <v>69</v>
      </c>
      <c r="H25" s="72">
        <v>6601</v>
      </c>
      <c r="I25" s="372"/>
      <c r="J25" s="86"/>
    </row>
    <row r="26" ht="15" customHeight="1" spans="1:11">
      <c r="A26" s="109" t="s">
        <v>257</v>
      </c>
      <c r="B26" s="109" t="s">
        <v>258</v>
      </c>
      <c r="C26" s="122" t="s">
        <v>273</v>
      </c>
      <c r="D26" s="371" t="s">
        <v>274</v>
      </c>
      <c r="E26" s="122" t="s">
        <v>64</v>
      </c>
      <c r="F26" s="273">
        <v>4</v>
      </c>
      <c r="G26" s="85" t="s">
        <v>69</v>
      </c>
      <c r="H26" s="72">
        <v>8993</v>
      </c>
      <c r="I26" s="372"/>
      <c r="J26" s="86"/>
    </row>
    <row r="27" ht="15" customHeight="1" spans="1:11">
      <c r="A27" s="109" t="s">
        <v>257</v>
      </c>
      <c r="B27" s="109" t="s">
        <v>258</v>
      </c>
      <c r="C27" s="122" t="s">
        <v>275</v>
      </c>
      <c r="D27" s="371" t="s">
        <v>276</v>
      </c>
      <c r="E27" s="122" t="s">
        <v>64</v>
      </c>
      <c r="F27" s="273">
        <v>4</v>
      </c>
      <c r="G27" s="85" t="s">
        <v>69</v>
      </c>
      <c r="H27" s="72">
        <v>5980</v>
      </c>
      <c r="I27" s="372"/>
      <c r="J27" s="86"/>
    </row>
    <row r="28" ht="15" customHeight="1" spans="1:11">
      <c r="A28" s="109" t="s">
        <v>257</v>
      </c>
      <c r="B28" s="109" t="s">
        <v>258</v>
      </c>
      <c r="C28" s="122" t="s">
        <v>277</v>
      </c>
      <c r="D28" s="371" t="s">
        <v>278</v>
      </c>
      <c r="E28" s="122" t="s">
        <v>64</v>
      </c>
      <c r="F28" s="273">
        <v>4</v>
      </c>
      <c r="G28" s="85" t="s">
        <v>69</v>
      </c>
      <c r="H28" s="72">
        <v>8050</v>
      </c>
      <c r="I28" s="372"/>
      <c r="J28" s="86"/>
    </row>
    <row r="29" ht="15" customHeight="1" spans="1:11">
      <c r="A29" s="109" t="s">
        <v>257</v>
      </c>
      <c r="B29" s="109" t="s">
        <v>258</v>
      </c>
      <c r="C29" s="122" t="s">
        <v>279</v>
      </c>
      <c r="D29" s="371" t="s">
        <v>280</v>
      </c>
      <c r="E29" s="122" t="s">
        <v>64</v>
      </c>
      <c r="F29" s="273">
        <v>4</v>
      </c>
      <c r="G29" s="85" t="s">
        <v>69</v>
      </c>
      <c r="H29" s="72">
        <v>11776</v>
      </c>
      <c r="I29" s="372"/>
      <c r="J29" s="8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6"/>
  </sheetPr>
  <dimension ref="A1:L2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M1" sqref="M$1:O$1048576"/>
    </sheetView>
  </sheetViews>
  <sheetFormatPr defaultColWidth="9.33628318584071" defaultRowHeight="13.85"/>
  <cols>
    <col min="1" max="1" width="31.3362831858407" style="348" customWidth="1"/>
    <col min="2" max="2" width="17.6637168141593" style="184" customWidth="1"/>
    <col min="3" max="3" width="22.6637168141593" style="348" customWidth="1"/>
    <col min="4" max="4" width="82.5044247787611" style="349" customWidth="1"/>
    <col min="5" max="5" width="9.33628318584071" style="348" customWidth="1"/>
    <col min="6" max="6" width="10" style="348" customWidth="1"/>
    <col min="7" max="7" width="13.3362831858407" style="348" customWidth="1"/>
    <col min="8" max="8" width="13.6637168141593" style="350" customWidth="1"/>
    <col min="9" max="10" width="13" style="348" customWidth="1"/>
    <col min="11" max="11" width="20" style="351" customWidth="1"/>
    <col min="12" max="12" width="29" style="351" customWidth="1"/>
    <col min="13" max="16384" width="9.33628318584071" style="351"/>
  </cols>
  <sheetData>
    <row r="1" spans="1:12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70" t="s">
        <v>55</v>
      </c>
      <c r="G1" s="70" t="s">
        <v>56</v>
      </c>
      <c r="H1" s="195" t="s">
        <v>57</v>
      </c>
      <c r="I1" s="70" t="s">
        <v>58</v>
      </c>
      <c r="J1" s="70" t="s">
        <v>59</v>
      </c>
      <c r="K1" s="70" t="s">
        <v>60</v>
      </c>
    </row>
    <row r="2" s="63" customFormat="1" ht="45" customHeight="1" spans="1:12">
      <c r="A2" s="197" t="s">
        <v>281</v>
      </c>
      <c r="B2" s="197" t="s">
        <v>37</v>
      </c>
      <c r="C2" s="197" t="s">
        <v>282</v>
      </c>
      <c r="D2" s="198" t="s">
        <v>283</v>
      </c>
      <c r="E2" s="196" t="s">
        <v>284</v>
      </c>
      <c r="F2" s="196">
        <v>3</v>
      </c>
      <c r="G2" s="196" t="s">
        <v>69</v>
      </c>
      <c r="H2" s="205">
        <v>1581687</v>
      </c>
      <c r="I2" s="100"/>
      <c r="J2" s="336" t="s">
        <v>285</v>
      </c>
      <c r="K2" s="113" t="s">
        <v>286</v>
      </c>
    </row>
    <row r="3" ht="45" customHeight="1" spans="1:12">
      <c r="A3" s="196" t="s">
        <v>281</v>
      </c>
      <c r="B3" s="197" t="s">
        <v>37</v>
      </c>
      <c r="C3" s="196" t="s">
        <v>287</v>
      </c>
      <c r="D3" s="198" t="s">
        <v>288</v>
      </c>
      <c r="E3" s="196" t="s">
        <v>284</v>
      </c>
      <c r="F3" s="196">
        <v>3</v>
      </c>
      <c r="G3" s="196" t="s">
        <v>69</v>
      </c>
      <c r="H3" s="352">
        <v>1581687</v>
      </c>
      <c r="I3" s="298"/>
      <c r="J3" s="200" t="s">
        <v>285</v>
      </c>
      <c r="K3" s="113" t="s">
        <v>286</v>
      </c>
      <c r="L3" s="63"/>
    </row>
    <row r="4" ht="45" customHeight="1" spans="1:12">
      <c r="A4" s="196" t="s">
        <v>281</v>
      </c>
      <c r="B4" s="197" t="s">
        <v>37</v>
      </c>
      <c r="C4" s="196" t="s">
        <v>289</v>
      </c>
      <c r="D4" s="198" t="s">
        <v>290</v>
      </c>
      <c r="E4" s="196" t="s">
        <v>284</v>
      </c>
      <c r="F4" s="196">
        <v>3</v>
      </c>
      <c r="G4" s="196" t="s">
        <v>69</v>
      </c>
      <c r="H4" s="352">
        <v>1581687</v>
      </c>
      <c r="I4" s="298"/>
      <c r="J4" s="200" t="s">
        <v>285</v>
      </c>
      <c r="K4" s="113" t="s">
        <v>286</v>
      </c>
      <c r="L4" s="63"/>
    </row>
    <row r="5" ht="45" customHeight="1" spans="1:12">
      <c r="A5" s="196" t="s">
        <v>281</v>
      </c>
      <c r="B5" s="197" t="s">
        <v>37</v>
      </c>
      <c r="C5" s="196" t="s">
        <v>291</v>
      </c>
      <c r="D5" s="198" t="s">
        <v>292</v>
      </c>
      <c r="E5" s="196" t="s">
        <v>284</v>
      </c>
      <c r="F5" s="196">
        <v>3</v>
      </c>
      <c r="G5" s="196" t="s">
        <v>69</v>
      </c>
      <c r="H5" s="352">
        <v>1581687</v>
      </c>
      <c r="I5" s="298"/>
      <c r="J5" s="200" t="s">
        <v>285</v>
      </c>
      <c r="K5" s="113" t="s">
        <v>286</v>
      </c>
      <c r="L5" s="63"/>
    </row>
    <row r="6" ht="30" customHeight="1" spans="1:12">
      <c r="A6" s="196" t="s">
        <v>293</v>
      </c>
      <c r="B6" s="197" t="s">
        <v>37</v>
      </c>
      <c r="C6" s="196" t="s">
        <v>294</v>
      </c>
      <c r="D6" s="198" t="s">
        <v>295</v>
      </c>
      <c r="E6" s="196" t="s">
        <v>284</v>
      </c>
      <c r="F6" s="196">
        <v>3</v>
      </c>
      <c r="G6" s="196" t="s">
        <v>69</v>
      </c>
      <c r="H6" s="352">
        <v>28877</v>
      </c>
      <c r="I6" s="297"/>
      <c r="J6" s="200" t="s">
        <v>285</v>
      </c>
      <c r="K6" s="353"/>
      <c r="L6" s="63"/>
    </row>
    <row r="7" ht="30" customHeight="1" spans="1:12">
      <c r="A7" s="196" t="s">
        <v>293</v>
      </c>
      <c r="B7" s="197" t="s">
        <v>37</v>
      </c>
      <c r="C7" s="196" t="s">
        <v>296</v>
      </c>
      <c r="D7" s="338" t="s">
        <v>297</v>
      </c>
      <c r="E7" s="196" t="s">
        <v>284</v>
      </c>
      <c r="F7" s="196">
        <v>3</v>
      </c>
      <c r="G7" s="196" t="s">
        <v>69</v>
      </c>
      <c r="H7" s="352">
        <v>28877</v>
      </c>
      <c r="I7" s="297"/>
      <c r="J7" s="200" t="s">
        <v>285</v>
      </c>
      <c r="K7" s="353"/>
      <c r="L7" s="63"/>
    </row>
    <row r="8" ht="30" customHeight="1" spans="1:12">
      <c r="A8" s="196" t="s">
        <v>293</v>
      </c>
      <c r="B8" s="197" t="s">
        <v>37</v>
      </c>
      <c r="C8" s="196" t="s">
        <v>298</v>
      </c>
      <c r="D8" s="338" t="s">
        <v>299</v>
      </c>
      <c r="E8" s="196" t="s">
        <v>284</v>
      </c>
      <c r="F8" s="196">
        <v>3</v>
      </c>
      <c r="G8" s="196" t="s">
        <v>69</v>
      </c>
      <c r="H8" s="352">
        <v>28877</v>
      </c>
      <c r="I8" s="297"/>
      <c r="J8" s="200" t="s">
        <v>285</v>
      </c>
      <c r="K8" s="353"/>
      <c r="L8" s="63"/>
    </row>
    <row r="9" ht="15" customHeight="1" spans="1:12">
      <c r="A9" s="196" t="s">
        <v>293</v>
      </c>
      <c r="B9" s="197" t="s">
        <v>37</v>
      </c>
      <c r="C9" s="196" t="s">
        <v>300</v>
      </c>
      <c r="D9" s="198" t="s">
        <v>301</v>
      </c>
      <c r="E9" s="196" t="s">
        <v>284</v>
      </c>
      <c r="F9" s="196">
        <v>3</v>
      </c>
      <c r="G9" s="196" t="s">
        <v>69</v>
      </c>
      <c r="H9" s="352">
        <v>46955</v>
      </c>
      <c r="I9" s="297"/>
      <c r="J9" s="200" t="s">
        <v>285</v>
      </c>
      <c r="K9" s="353"/>
      <c r="L9" s="63"/>
    </row>
    <row r="10" ht="15" customHeight="1" spans="1:12">
      <c r="A10" s="196" t="s">
        <v>293</v>
      </c>
      <c r="B10" s="197" t="s">
        <v>37</v>
      </c>
      <c r="C10" s="196" t="s">
        <v>302</v>
      </c>
      <c r="D10" s="198" t="s">
        <v>303</v>
      </c>
      <c r="E10" s="196" t="s">
        <v>284</v>
      </c>
      <c r="F10" s="196">
        <v>3</v>
      </c>
      <c r="G10" s="196" t="s">
        <v>69</v>
      </c>
      <c r="H10" s="352">
        <v>46955</v>
      </c>
      <c r="I10" s="297"/>
      <c r="J10" s="200" t="s">
        <v>285</v>
      </c>
      <c r="K10" s="353"/>
      <c r="L10" s="63"/>
    </row>
    <row r="11" ht="15" customHeight="1" spans="1:12">
      <c r="A11" s="196" t="s">
        <v>304</v>
      </c>
      <c r="B11" s="197" t="s">
        <v>37</v>
      </c>
      <c r="C11" s="196" t="s">
        <v>305</v>
      </c>
      <c r="D11" s="198" t="s">
        <v>306</v>
      </c>
      <c r="E11" s="196" t="s">
        <v>284</v>
      </c>
      <c r="F11" s="196">
        <v>3</v>
      </c>
      <c r="G11" s="196" t="s">
        <v>69</v>
      </c>
      <c r="H11" s="352">
        <v>35035</v>
      </c>
      <c r="I11" s="297"/>
      <c r="J11" s="200" t="s">
        <v>285</v>
      </c>
      <c r="K11" s="353"/>
      <c r="L11" s="63"/>
    </row>
    <row r="12" ht="15" customHeight="1" spans="1:12">
      <c r="A12" s="196" t="s">
        <v>304</v>
      </c>
      <c r="B12" s="197" t="s">
        <v>37</v>
      </c>
      <c r="C12" s="196" t="s">
        <v>307</v>
      </c>
      <c r="D12" s="198" t="s">
        <v>308</v>
      </c>
      <c r="E12" s="196" t="s">
        <v>284</v>
      </c>
      <c r="F12" s="196">
        <v>3</v>
      </c>
      <c r="G12" s="196" t="s">
        <v>69</v>
      </c>
      <c r="H12" s="352">
        <v>35035</v>
      </c>
      <c r="I12" s="297"/>
      <c r="J12" s="200" t="s">
        <v>285</v>
      </c>
      <c r="K12" s="353"/>
      <c r="L12" s="63"/>
    </row>
    <row r="13" ht="44" customHeight="1" spans="1:12">
      <c r="A13" s="354" t="s">
        <v>309</v>
      </c>
      <c r="B13" s="197" t="s">
        <v>37</v>
      </c>
      <c r="C13" s="354" t="s">
        <v>310</v>
      </c>
      <c r="D13" s="355" t="s">
        <v>311</v>
      </c>
      <c r="E13" s="354" t="s">
        <v>132</v>
      </c>
      <c r="F13" s="354">
        <v>0</v>
      </c>
      <c r="G13" s="356" t="s">
        <v>65</v>
      </c>
      <c r="H13" s="357">
        <v>14392</v>
      </c>
      <c r="I13" s="358"/>
      <c r="J13" s="359" t="s">
        <v>285</v>
      </c>
      <c r="K13" s="360"/>
      <c r="L13" s="361"/>
    </row>
    <row r="14" ht="59" customHeight="1" spans="1:12">
      <c r="A14" s="196" t="s">
        <v>309</v>
      </c>
      <c r="B14" s="197" t="s">
        <v>37</v>
      </c>
      <c r="C14" s="304" t="s">
        <v>312</v>
      </c>
      <c r="D14" s="198" t="s">
        <v>313</v>
      </c>
      <c r="E14" s="196" t="s">
        <v>132</v>
      </c>
      <c r="F14" s="196">
        <v>0</v>
      </c>
      <c r="G14" s="362" t="s">
        <v>65</v>
      </c>
      <c r="H14" s="99">
        <v>21588</v>
      </c>
      <c r="I14" s="363"/>
      <c r="J14" s="200" t="s">
        <v>285</v>
      </c>
      <c r="K14" s="353"/>
      <c r="L14" s="361"/>
    </row>
    <row r="15" ht="44" customHeight="1" spans="1:12">
      <c r="A15" s="364" t="s">
        <v>309</v>
      </c>
      <c r="B15" s="197" t="s">
        <v>37</v>
      </c>
      <c r="C15" s="364" t="s">
        <v>314</v>
      </c>
      <c r="D15" s="365" t="s">
        <v>315</v>
      </c>
      <c r="E15" s="364" t="s">
        <v>132</v>
      </c>
      <c r="F15" s="364">
        <v>0</v>
      </c>
      <c r="G15" s="366" t="s">
        <v>65</v>
      </c>
      <c r="H15" s="367">
        <v>27062</v>
      </c>
      <c r="I15" s="368"/>
      <c r="J15" s="369" t="s">
        <v>285</v>
      </c>
      <c r="K15" s="370"/>
      <c r="L15" s="361"/>
    </row>
    <row r="16" ht="44" customHeight="1" spans="1:12">
      <c r="A16" s="196" t="s">
        <v>309</v>
      </c>
      <c r="B16" s="197" t="s">
        <v>37</v>
      </c>
      <c r="C16" s="196" t="s">
        <v>316</v>
      </c>
      <c r="D16" s="198" t="s">
        <v>317</v>
      </c>
      <c r="E16" s="196" t="s">
        <v>132</v>
      </c>
      <c r="F16" s="196">
        <v>0</v>
      </c>
      <c r="G16" s="296" t="s">
        <v>65</v>
      </c>
      <c r="H16" s="352">
        <v>39298</v>
      </c>
      <c r="I16" s="297"/>
      <c r="J16" s="200" t="s">
        <v>285</v>
      </c>
      <c r="K16" s="353"/>
      <c r="L16" s="361"/>
    </row>
    <row r="17" ht="44" customHeight="1" spans="1:12">
      <c r="A17" s="196" t="s">
        <v>309</v>
      </c>
      <c r="B17" s="197" t="s">
        <v>37</v>
      </c>
      <c r="C17" s="196" t="s">
        <v>318</v>
      </c>
      <c r="D17" s="198" t="s">
        <v>319</v>
      </c>
      <c r="E17" s="196" t="s">
        <v>132</v>
      </c>
      <c r="F17" s="196">
        <v>0</v>
      </c>
      <c r="G17" s="296" t="s">
        <v>65</v>
      </c>
      <c r="H17" s="352">
        <v>61180</v>
      </c>
      <c r="I17" s="297"/>
      <c r="J17" s="200" t="s">
        <v>285</v>
      </c>
      <c r="K17" s="353"/>
      <c r="L17" s="361"/>
    </row>
    <row r="18" ht="30" customHeight="1" spans="1:12">
      <c r="A18" s="196" t="s">
        <v>309</v>
      </c>
      <c r="B18" s="197" t="s">
        <v>37</v>
      </c>
      <c r="C18" s="196" t="s">
        <v>320</v>
      </c>
      <c r="D18" s="198" t="s">
        <v>321</v>
      </c>
      <c r="E18" s="196" t="s">
        <v>132</v>
      </c>
      <c r="F18" s="196">
        <v>0</v>
      </c>
      <c r="G18" s="296" t="s">
        <v>65</v>
      </c>
      <c r="H18" s="352">
        <v>28350</v>
      </c>
      <c r="I18" s="297"/>
      <c r="J18" s="200" t="s">
        <v>285</v>
      </c>
      <c r="K18" s="353"/>
      <c r="L18" s="361"/>
    </row>
    <row r="19" ht="30" customHeight="1" spans="1:12">
      <c r="A19" s="196" t="s">
        <v>309</v>
      </c>
      <c r="B19" s="197" t="s">
        <v>37</v>
      </c>
      <c r="C19" s="196" t="s">
        <v>322</v>
      </c>
      <c r="D19" s="198" t="s">
        <v>323</v>
      </c>
      <c r="E19" s="196" t="s">
        <v>132</v>
      </c>
      <c r="F19" s="196">
        <v>0</v>
      </c>
      <c r="G19" s="296" t="s">
        <v>65</v>
      </c>
      <c r="H19" s="352">
        <v>53284</v>
      </c>
      <c r="I19" s="297"/>
      <c r="J19" s="200" t="s">
        <v>285</v>
      </c>
      <c r="K19" s="353"/>
      <c r="L19" s="361"/>
    </row>
    <row r="20" ht="30" customHeight="1" spans="1:12">
      <c r="A20" s="196" t="s">
        <v>309</v>
      </c>
      <c r="B20" s="197" t="s">
        <v>37</v>
      </c>
      <c r="C20" s="196" t="s">
        <v>324</v>
      </c>
      <c r="D20" s="198" t="s">
        <v>325</v>
      </c>
      <c r="E20" s="196" t="s">
        <v>132</v>
      </c>
      <c r="F20" s="196">
        <v>0</v>
      </c>
      <c r="G20" s="296" t="s">
        <v>65</v>
      </c>
      <c r="H20" s="352">
        <v>77378</v>
      </c>
      <c r="I20" s="297"/>
      <c r="J20" s="200" t="s">
        <v>285</v>
      </c>
      <c r="K20" s="353"/>
      <c r="L20" s="361"/>
    </row>
    <row r="21" ht="30" customHeight="1" spans="1:12">
      <c r="A21" s="196" t="s">
        <v>309</v>
      </c>
      <c r="B21" s="197" t="s">
        <v>37</v>
      </c>
      <c r="C21" s="196" t="s">
        <v>326</v>
      </c>
      <c r="D21" s="198" t="s">
        <v>327</v>
      </c>
      <c r="E21" s="196" t="s">
        <v>132</v>
      </c>
      <c r="F21" s="196">
        <v>0</v>
      </c>
      <c r="G21" s="296" t="s">
        <v>65</v>
      </c>
      <c r="H21" s="352">
        <v>120456</v>
      </c>
      <c r="I21" s="297"/>
      <c r="J21" s="200" t="s">
        <v>285</v>
      </c>
      <c r="K21" s="353"/>
      <c r="L21" s="361"/>
    </row>
    <row r="22" ht="30" customHeight="1" spans="1:12">
      <c r="A22" s="196" t="s">
        <v>309</v>
      </c>
      <c r="B22" s="197" t="s">
        <v>37</v>
      </c>
      <c r="C22" s="196" t="s">
        <v>328</v>
      </c>
      <c r="D22" s="284" t="s">
        <v>329</v>
      </c>
      <c r="E22" s="196" t="s">
        <v>132</v>
      </c>
      <c r="F22" s="196">
        <v>2</v>
      </c>
      <c r="G22" s="296" t="s">
        <v>69</v>
      </c>
      <c r="H22" s="352" t="s">
        <v>143</v>
      </c>
      <c r="I22" s="297"/>
      <c r="J22" s="200" t="s">
        <v>285</v>
      </c>
      <c r="K22" s="353"/>
      <c r="L22" s="361"/>
    </row>
    <row r="23" ht="30" customHeight="1" spans="1:12">
      <c r="A23" s="196" t="s">
        <v>309</v>
      </c>
      <c r="B23" s="197" t="s">
        <v>37</v>
      </c>
      <c r="C23" s="196" t="s">
        <v>330</v>
      </c>
      <c r="D23" s="284" t="s">
        <v>331</v>
      </c>
      <c r="E23" s="196" t="s">
        <v>132</v>
      </c>
      <c r="F23" s="196">
        <v>2</v>
      </c>
      <c r="G23" s="296" t="s">
        <v>69</v>
      </c>
      <c r="H23" s="352" t="s">
        <v>143</v>
      </c>
      <c r="I23" s="297"/>
      <c r="J23" s="200" t="s">
        <v>285</v>
      </c>
      <c r="K23" s="353"/>
      <c r="L23" s="361"/>
    </row>
    <row r="24" ht="30" customHeight="1" spans="1:12">
      <c r="A24" s="196" t="s">
        <v>309</v>
      </c>
      <c r="B24" s="197" t="s">
        <v>37</v>
      </c>
      <c r="C24" s="196" t="s">
        <v>332</v>
      </c>
      <c r="D24" s="284" t="s">
        <v>333</v>
      </c>
      <c r="E24" s="196" t="s">
        <v>132</v>
      </c>
      <c r="F24" s="196">
        <v>2</v>
      </c>
      <c r="G24" s="296" t="s">
        <v>69</v>
      </c>
      <c r="H24" s="352" t="s">
        <v>143</v>
      </c>
      <c r="I24" s="297"/>
      <c r="J24" s="200" t="s">
        <v>285</v>
      </c>
      <c r="K24" s="353"/>
      <c r="L24" s="361"/>
    </row>
    <row r="25" ht="30" customHeight="1" spans="1:12">
      <c r="A25" s="196" t="s">
        <v>309</v>
      </c>
      <c r="B25" s="197" t="s">
        <v>37</v>
      </c>
      <c r="C25" s="196" t="s">
        <v>334</v>
      </c>
      <c r="D25" s="284" t="s">
        <v>335</v>
      </c>
      <c r="E25" s="196" t="s">
        <v>132</v>
      </c>
      <c r="F25" s="196">
        <v>2</v>
      </c>
      <c r="G25" s="296" t="s">
        <v>69</v>
      </c>
      <c r="H25" s="352" t="s">
        <v>143</v>
      </c>
      <c r="I25" s="297"/>
      <c r="J25" s="200" t="s">
        <v>285</v>
      </c>
      <c r="K25" s="353"/>
      <c r="L25" s="361"/>
    </row>
    <row r="26" ht="30" customHeight="1" spans="1:12">
      <c r="A26" s="196" t="s">
        <v>309</v>
      </c>
      <c r="B26" s="197" t="s">
        <v>37</v>
      </c>
      <c r="C26" s="196" t="s">
        <v>336</v>
      </c>
      <c r="D26" s="198" t="s">
        <v>337</v>
      </c>
      <c r="E26" s="196" t="s">
        <v>132</v>
      </c>
      <c r="F26" s="196">
        <v>1</v>
      </c>
      <c r="G26" s="296" t="s">
        <v>65</v>
      </c>
      <c r="H26" s="352">
        <v>1204</v>
      </c>
      <c r="I26" s="297"/>
      <c r="J26" s="200" t="s">
        <v>285</v>
      </c>
      <c r="K26" s="353"/>
      <c r="L26" s="361"/>
    </row>
    <row r="27" ht="30" customHeight="1" spans="1:12">
      <c r="A27" s="196" t="s">
        <v>309</v>
      </c>
      <c r="B27" s="197" t="s">
        <v>37</v>
      </c>
      <c r="C27" s="196" t="s">
        <v>338</v>
      </c>
      <c r="D27" s="198" t="s">
        <v>339</v>
      </c>
      <c r="E27" s="196" t="s">
        <v>132</v>
      </c>
      <c r="F27" s="196">
        <v>1</v>
      </c>
      <c r="G27" s="296" t="s">
        <v>65</v>
      </c>
      <c r="H27" s="352">
        <v>2366</v>
      </c>
      <c r="I27" s="297"/>
      <c r="J27" s="200" t="s">
        <v>285</v>
      </c>
      <c r="K27" s="353"/>
      <c r="L27" s="361"/>
    </row>
  </sheetData>
  <autoFilter xmlns:etc="http://www.wps.cn/officeDocument/2017/etCustomData" ref="A1:J27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6900Worldwide Price List - January 2017&amp;RAs of 01/01/2017</oddHeader>
    <oddFooter>&amp;CAlcatel-Lucent - Enterprise Solutions Division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indexed="16"/>
  </sheetPr>
  <dimension ref="A1:O64"/>
  <sheetViews>
    <sheetView workbookViewId="0">
      <pane xSplit="1" ySplit="1" topLeftCell="B5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3.85"/>
  <cols>
    <col min="1" max="2" width="25" style="184" customWidth="1"/>
    <col min="3" max="3" width="18.6637168141593" style="184" customWidth="1"/>
    <col min="4" max="4" width="78.6637168141593" style="191" customWidth="1"/>
    <col min="5" max="5" width="9.16814159292035" style="216" customWidth="1"/>
    <col min="6" max="6" width="10" style="246" customWidth="1"/>
    <col min="7" max="7" width="13.1681415929204" style="216" customWidth="1"/>
    <col min="8" max="8" width="13.6637168141593" style="335" customWidth="1"/>
    <col min="9" max="9" width="12" style="216" customWidth="1"/>
    <col min="10" max="10" width="12.1681415929204" style="216" customWidth="1"/>
    <col min="11" max="11" width="15.1681415929204" style="63" customWidth="1"/>
    <col min="12" max="12" width="20.1681415929204" style="63" customWidth="1"/>
    <col min="13" max="13" width="9" style="63" customWidth="1"/>
    <col min="14" max="16384" width="9" style="63"/>
  </cols>
  <sheetData>
    <row r="1" spans="1:15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70" t="s">
        <v>55</v>
      </c>
      <c r="G1" s="70" t="s">
        <v>56</v>
      </c>
      <c r="H1" s="195" t="s">
        <v>57</v>
      </c>
      <c r="I1" s="70" t="s">
        <v>58</v>
      </c>
      <c r="J1" s="70" t="s">
        <v>59</v>
      </c>
      <c r="K1" s="70" t="s">
        <v>60</v>
      </c>
      <c r="M1" s="309" t="s">
        <v>340</v>
      </c>
      <c r="N1" s="309"/>
      <c r="O1" s="309"/>
    </row>
    <row r="2" ht="45" customHeight="1" spans="1:15">
      <c r="A2" s="197" t="s">
        <v>341</v>
      </c>
      <c r="B2" s="197" t="s">
        <v>37</v>
      </c>
      <c r="C2" s="197" t="s">
        <v>342</v>
      </c>
      <c r="D2" s="198" t="s">
        <v>343</v>
      </c>
      <c r="E2" s="196" t="s">
        <v>284</v>
      </c>
      <c r="F2" s="196">
        <v>3</v>
      </c>
      <c r="G2" s="196" t="s">
        <v>65</v>
      </c>
      <c r="H2" s="205">
        <v>351676</v>
      </c>
      <c r="I2" s="100"/>
      <c r="J2" s="336"/>
      <c r="K2" s="337"/>
      <c r="M2" s="108">
        <f>_xlfn.XLOOKUP(C:C,'[1]All Data'!$C:$C,'[1]All Data'!$H:$H)</f>
        <v>351676</v>
      </c>
      <c r="N2" s="108"/>
      <c r="O2" s="108">
        <f>H2-M2</f>
        <v>0</v>
      </c>
    </row>
    <row r="3" ht="45" customHeight="1" spans="1:15">
      <c r="A3" s="197" t="s">
        <v>341</v>
      </c>
      <c r="B3" s="197" t="s">
        <v>37</v>
      </c>
      <c r="C3" s="197" t="s">
        <v>344</v>
      </c>
      <c r="D3" s="198" t="s">
        <v>345</v>
      </c>
      <c r="E3" s="196" t="s">
        <v>284</v>
      </c>
      <c r="F3" s="196">
        <v>3</v>
      </c>
      <c r="G3" s="196" t="s">
        <v>65</v>
      </c>
      <c r="H3" s="205">
        <v>351676</v>
      </c>
      <c r="I3" s="100"/>
      <c r="J3" s="336"/>
      <c r="K3" s="337"/>
      <c r="M3" s="108">
        <f>_xlfn.XLOOKUP(C:C,'[1]All Data'!$C:$C,'[1]All Data'!$H:$H)</f>
        <v>351676</v>
      </c>
      <c r="N3" s="108"/>
      <c r="O3" s="108">
        <f t="shared" ref="O3:O63" si="0">H3-M3</f>
        <v>0</v>
      </c>
    </row>
    <row r="4" ht="45" customHeight="1" spans="1:15">
      <c r="A4" s="197" t="s">
        <v>341</v>
      </c>
      <c r="B4" s="197" t="s">
        <v>37</v>
      </c>
      <c r="C4" s="197" t="s">
        <v>346</v>
      </c>
      <c r="D4" s="198" t="s">
        <v>347</v>
      </c>
      <c r="E4" s="196" t="s">
        <v>284</v>
      </c>
      <c r="F4" s="196">
        <v>3</v>
      </c>
      <c r="G4" s="196" t="s">
        <v>65</v>
      </c>
      <c r="H4" s="205">
        <v>351676</v>
      </c>
      <c r="I4" s="100"/>
      <c r="J4" s="336"/>
      <c r="K4" s="337"/>
      <c r="M4" s="108">
        <f>_xlfn.XLOOKUP(C:C,'[1]All Data'!$C:$C,'[1]All Data'!$H:$H)</f>
        <v>351676</v>
      </c>
      <c r="N4" s="108"/>
      <c r="O4" s="108">
        <f t="shared" si="0"/>
        <v>0</v>
      </c>
    </row>
    <row r="5" ht="45" customHeight="1" spans="1:15">
      <c r="A5" s="197" t="s">
        <v>341</v>
      </c>
      <c r="B5" s="197" t="s">
        <v>37</v>
      </c>
      <c r="C5" s="197" t="s">
        <v>348</v>
      </c>
      <c r="D5" s="198" t="s">
        <v>349</v>
      </c>
      <c r="E5" s="196" t="s">
        <v>284</v>
      </c>
      <c r="F5" s="196">
        <v>3</v>
      </c>
      <c r="G5" s="196" t="s">
        <v>65</v>
      </c>
      <c r="H5" s="205">
        <v>351676</v>
      </c>
      <c r="I5" s="100"/>
      <c r="J5" s="336"/>
      <c r="K5" s="337"/>
      <c r="M5" s="108">
        <f>_xlfn.XLOOKUP(C:C,'[1]All Data'!$C:$C,'[1]All Data'!$H:$H)</f>
        <v>351676</v>
      </c>
      <c r="N5" s="108"/>
      <c r="O5" s="108">
        <f t="shared" si="0"/>
        <v>0</v>
      </c>
    </row>
    <row r="6" ht="60" customHeight="1" spans="1:15">
      <c r="A6" s="197" t="s">
        <v>341</v>
      </c>
      <c r="B6" s="197" t="s">
        <v>37</v>
      </c>
      <c r="C6" s="197" t="s">
        <v>350</v>
      </c>
      <c r="D6" s="198" t="s">
        <v>351</v>
      </c>
      <c r="E6" s="196" t="s">
        <v>284</v>
      </c>
      <c r="F6" s="196">
        <v>3</v>
      </c>
      <c r="G6" s="196" t="s">
        <v>65</v>
      </c>
      <c r="H6" s="205">
        <v>383640</v>
      </c>
      <c r="I6" s="100"/>
      <c r="J6" s="336"/>
      <c r="K6" s="337"/>
      <c r="M6" s="108">
        <f>_xlfn.XLOOKUP(C:C,'[1]All Data'!$C:$C,'[1]All Data'!$H:$H)</f>
        <v>383640</v>
      </c>
      <c r="N6" s="108"/>
      <c r="O6" s="108">
        <f t="shared" si="0"/>
        <v>0</v>
      </c>
    </row>
    <row r="7" ht="60" customHeight="1" spans="1:15">
      <c r="A7" s="197" t="s">
        <v>341</v>
      </c>
      <c r="B7" s="197" t="s">
        <v>37</v>
      </c>
      <c r="C7" s="197" t="s">
        <v>352</v>
      </c>
      <c r="D7" s="198" t="s">
        <v>353</v>
      </c>
      <c r="E7" s="196" t="s">
        <v>284</v>
      </c>
      <c r="F7" s="196">
        <v>3</v>
      </c>
      <c r="G7" s="196" t="s">
        <v>65</v>
      </c>
      <c r="H7" s="205">
        <v>383640</v>
      </c>
      <c r="I7" s="100"/>
      <c r="J7" s="336"/>
      <c r="K7" s="337"/>
      <c r="M7" s="108">
        <f>_xlfn.XLOOKUP(C:C,'[1]All Data'!$C:$C,'[1]All Data'!$H:$H)</f>
        <v>383640</v>
      </c>
      <c r="N7" s="108"/>
      <c r="O7" s="108">
        <f t="shared" si="0"/>
        <v>0</v>
      </c>
    </row>
    <row r="8" ht="60" customHeight="1" spans="1:15">
      <c r="A8" s="197" t="s">
        <v>341</v>
      </c>
      <c r="B8" s="197" t="s">
        <v>37</v>
      </c>
      <c r="C8" s="197" t="s">
        <v>354</v>
      </c>
      <c r="D8" s="198" t="s">
        <v>355</v>
      </c>
      <c r="E8" s="196" t="s">
        <v>284</v>
      </c>
      <c r="F8" s="196">
        <v>3</v>
      </c>
      <c r="G8" s="196" t="s">
        <v>65</v>
      </c>
      <c r="H8" s="205">
        <v>383640</v>
      </c>
      <c r="I8" s="100"/>
      <c r="J8" s="336"/>
      <c r="K8" s="337"/>
      <c r="M8" s="108">
        <f>_xlfn.XLOOKUP(C:C,'[1]All Data'!$C:$C,'[1]All Data'!$H:$H)</f>
        <v>383640</v>
      </c>
      <c r="N8" s="108"/>
      <c r="O8" s="108">
        <f t="shared" si="0"/>
        <v>0</v>
      </c>
    </row>
    <row r="9" ht="60" customHeight="1" spans="1:15">
      <c r="A9" s="197" t="s">
        <v>341</v>
      </c>
      <c r="B9" s="197" t="s">
        <v>37</v>
      </c>
      <c r="C9" s="197" t="s">
        <v>356</v>
      </c>
      <c r="D9" s="198" t="s">
        <v>357</v>
      </c>
      <c r="E9" s="196" t="s">
        <v>284</v>
      </c>
      <c r="F9" s="196">
        <v>3</v>
      </c>
      <c r="G9" s="196" t="s">
        <v>65</v>
      </c>
      <c r="H9" s="205">
        <v>383640</v>
      </c>
      <c r="I9" s="100"/>
      <c r="J9" s="336"/>
      <c r="K9" s="337"/>
      <c r="M9" s="108">
        <f>_xlfn.XLOOKUP(C:C,'[1]All Data'!$C:$C,'[1]All Data'!$H:$H)</f>
        <v>383640</v>
      </c>
      <c r="N9" s="108"/>
      <c r="O9" s="108">
        <f t="shared" si="0"/>
        <v>0</v>
      </c>
    </row>
    <row r="10" ht="45" customHeight="1" spans="1:15">
      <c r="A10" s="197" t="s">
        <v>341</v>
      </c>
      <c r="B10" s="197" t="s">
        <v>37</v>
      </c>
      <c r="C10" s="197" t="s">
        <v>358</v>
      </c>
      <c r="D10" s="198" t="s">
        <v>359</v>
      </c>
      <c r="E10" s="196" t="s">
        <v>284</v>
      </c>
      <c r="F10" s="196">
        <v>3</v>
      </c>
      <c r="G10" s="196" t="s">
        <v>65</v>
      </c>
      <c r="H10" s="205">
        <v>592952</v>
      </c>
      <c r="I10" s="100"/>
      <c r="J10" s="336"/>
      <c r="K10" s="337"/>
      <c r="M10" s="108">
        <f>_xlfn.XLOOKUP(C:C,'[1]All Data'!$C:$C,'[1]All Data'!$H:$H)</f>
        <v>592952</v>
      </c>
      <c r="N10" s="108"/>
      <c r="O10" s="108">
        <f t="shared" si="0"/>
        <v>0</v>
      </c>
    </row>
    <row r="11" ht="45" customHeight="1" spans="1:15">
      <c r="A11" s="197" t="s">
        <v>341</v>
      </c>
      <c r="B11" s="197" t="s">
        <v>37</v>
      </c>
      <c r="C11" s="197" t="s">
        <v>360</v>
      </c>
      <c r="D11" s="198" t="s">
        <v>361</v>
      </c>
      <c r="E11" s="196" t="s">
        <v>284</v>
      </c>
      <c r="F11" s="196">
        <v>3</v>
      </c>
      <c r="G11" s="196" t="s">
        <v>65</v>
      </c>
      <c r="H11" s="205">
        <v>592952</v>
      </c>
      <c r="I11" s="100"/>
      <c r="J11" s="336"/>
      <c r="K11" s="337"/>
      <c r="M11" s="108">
        <f>_xlfn.XLOOKUP(C:C,'[1]All Data'!$C:$C,'[1]All Data'!$H:$H)</f>
        <v>592952</v>
      </c>
      <c r="N11" s="108"/>
      <c r="O11" s="108">
        <f t="shared" si="0"/>
        <v>0</v>
      </c>
    </row>
    <row r="12" ht="45" customHeight="1" spans="1:15">
      <c r="A12" s="197" t="s">
        <v>341</v>
      </c>
      <c r="B12" s="197" t="s">
        <v>37</v>
      </c>
      <c r="C12" s="197" t="s">
        <v>362</v>
      </c>
      <c r="D12" s="198" t="s">
        <v>363</v>
      </c>
      <c r="E12" s="196" t="s">
        <v>284</v>
      </c>
      <c r="F12" s="196">
        <v>3</v>
      </c>
      <c r="G12" s="196" t="s">
        <v>65</v>
      </c>
      <c r="H12" s="205">
        <v>592952</v>
      </c>
      <c r="I12" s="100"/>
      <c r="J12" s="336"/>
      <c r="K12" s="337"/>
      <c r="M12" s="108">
        <f>_xlfn.XLOOKUP(C:C,'[1]All Data'!$C:$C,'[1]All Data'!$H:$H)</f>
        <v>592952</v>
      </c>
      <c r="N12" s="108"/>
      <c r="O12" s="108">
        <f t="shared" si="0"/>
        <v>0</v>
      </c>
    </row>
    <row r="13" ht="45" customHeight="1" spans="1:15">
      <c r="A13" s="197" t="s">
        <v>341</v>
      </c>
      <c r="B13" s="197" t="s">
        <v>37</v>
      </c>
      <c r="C13" s="197" t="s">
        <v>364</v>
      </c>
      <c r="D13" s="198" t="s">
        <v>365</v>
      </c>
      <c r="E13" s="196" t="s">
        <v>284</v>
      </c>
      <c r="F13" s="196">
        <v>3</v>
      </c>
      <c r="G13" s="196" t="s">
        <v>65</v>
      </c>
      <c r="H13" s="205">
        <v>592952</v>
      </c>
      <c r="I13" s="100"/>
      <c r="J13" s="336"/>
      <c r="K13" s="337"/>
      <c r="M13" s="108">
        <f>_xlfn.XLOOKUP(C:C,'[1]All Data'!$C:$C,'[1]All Data'!$H:$H)</f>
        <v>592952</v>
      </c>
      <c r="N13" s="108"/>
      <c r="O13" s="108">
        <f t="shared" si="0"/>
        <v>0</v>
      </c>
    </row>
    <row r="14" ht="60" customHeight="1" spans="1:15">
      <c r="A14" s="197" t="s">
        <v>341</v>
      </c>
      <c r="B14" s="197" t="s">
        <v>37</v>
      </c>
      <c r="C14" s="197" t="s">
        <v>366</v>
      </c>
      <c r="D14" s="198" t="s">
        <v>367</v>
      </c>
      <c r="E14" s="196" t="s">
        <v>284</v>
      </c>
      <c r="F14" s="196">
        <v>3</v>
      </c>
      <c r="G14" s="196" t="s">
        <v>69</v>
      </c>
      <c r="H14" s="205">
        <v>672750</v>
      </c>
      <c r="I14" s="100"/>
      <c r="J14" s="336"/>
      <c r="K14" s="337"/>
      <c r="M14" s="108">
        <f>_xlfn.XLOOKUP(C:C,'[1]All Data'!$C:$C,'[1]All Data'!$H:$H)</f>
        <v>672750</v>
      </c>
      <c r="N14" s="108"/>
      <c r="O14" s="108">
        <f t="shared" si="0"/>
        <v>0</v>
      </c>
    </row>
    <row r="15" ht="60" customHeight="1" spans="1:15">
      <c r="A15" s="197" t="s">
        <v>341</v>
      </c>
      <c r="B15" s="197" t="s">
        <v>37</v>
      </c>
      <c r="C15" s="197" t="s">
        <v>368</v>
      </c>
      <c r="D15" s="198" t="s">
        <v>369</v>
      </c>
      <c r="E15" s="196" t="s">
        <v>284</v>
      </c>
      <c r="F15" s="196">
        <v>3</v>
      </c>
      <c r="G15" s="196" t="s">
        <v>69</v>
      </c>
      <c r="H15" s="205">
        <v>672750</v>
      </c>
      <c r="I15" s="100"/>
      <c r="J15" s="336"/>
      <c r="K15" s="337"/>
      <c r="M15" s="108">
        <f>_xlfn.XLOOKUP(C:C,'[1]All Data'!$C:$C,'[1]All Data'!$H:$H)</f>
        <v>672750</v>
      </c>
      <c r="N15" s="108"/>
      <c r="O15" s="108">
        <f t="shared" si="0"/>
        <v>0</v>
      </c>
    </row>
    <row r="16" ht="60" customHeight="1" spans="1:15">
      <c r="A16" s="197" t="s">
        <v>341</v>
      </c>
      <c r="B16" s="197" t="s">
        <v>37</v>
      </c>
      <c r="C16" s="197" t="s">
        <v>370</v>
      </c>
      <c r="D16" s="198" t="s">
        <v>371</v>
      </c>
      <c r="E16" s="196" t="s">
        <v>284</v>
      </c>
      <c r="F16" s="196">
        <v>3</v>
      </c>
      <c r="G16" s="196" t="s">
        <v>69</v>
      </c>
      <c r="H16" s="205">
        <v>672750</v>
      </c>
      <c r="I16" s="100"/>
      <c r="J16" s="336"/>
      <c r="K16" s="337"/>
      <c r="M16" s="108">
        <f>_xlfn.XLOOKUP(C:C,'[1]All Data'!$C:$C,'[1]All Data'!$H:$H)</f>
        <v>672750</v>
      </c>
      <c r="N16" s="108"/>
      <c r="O16" s="108">
        <f t="shared" si="0"/>
        <v>0</v>
      </c>
    </row>
    <row r="17" ht="60" customHeight="1" spans="1:15">
      <c r="A17" s="197" t="s">
        <v>341</v>
      </c>
      <c r="B17" s="197" t="s">
        <v>37</v>
      </c>
      <c r="C17" s="197" t="s">
        <v>372</v>
      </c>
      <c r="D17" s="198" t="s">
        <v>369</v>
      </c>
      <c r="E17" s="196" t="s">
        <v>284</v>
      </c>
      <c r="F17" s="196">
        <v>3</v>
      </c>
      <c r="G17" s="196" t="s">
        <v>69</v>
      </c>
      <c r="H17" s="205">
        <v>672750</v>
      </c>
      <c r="I17" s="100"/>
      <c r="J17" s="336"/>
      <c r="K17" s="337"/>
      <c r="M17" s="108">
        <f>_xlfn.XLOOKUP(C:C,'[1]All Data'!$C:$C,'[1]All Data'!$H:$H)</f>
        <v>672750</v>
      </c>
      <c r="N17" s="108"/>
      <c r="O17" s="108">
        <f t="shared" si="0"/>
        <v>0</v>
      </c>
    </row>
    <row r="18" ht="45" customHeight="1" spans="1:15">
      <c r="A18" s="197" t="s">
        <v>341</v>
      </c>
      <c r="B18" s="197" t="s">
        <v>37</v>
      </c>
      <c r="C18" s="197" t="s">
        <v>373</v>
      </c>
      <c r="D18" s="198" t="s">
        <v>374</v>
      </c>
      <c r="E18" s="196" t="s">
        <v>284</v>
      </c>
      <c r="F18" s="196">
        <v>3</v>
      </c>
      <c r="G18" s="196" t="s">
        <v>65</v>
      </c>
      <c r="H18" s="205">
        <v>638543</v>
      </c>
      <c r="I18" s="100"/>
      <c r="J18" s="336"/>
      <c r="K18" s="337"/>
      <c r="M18" s="108">
        <f>_xlfn.XLOOKUP(C:C,'[1]All Data'!$C:$C,'[1]All Data'!$H:$H)</f>
        <v>638543</v>
      </c>
      <c r="N18" s="108"/>
      <c r="O18" s="108">
        <f t="shared" si="0"/>
        <v>0</v>
      </c>
    </row>
    <row r="19" ht="45" customHeight="1" spans="1:15">
      <c r="A19" s="197" t="s">
        <v>341</v>
      </c>
      <c r="B19" s="197" t="s">
        <v>37</v>
      </c>
      <c r="C19" s="197" t="s">
        <v>375</v>
      </c>
      <c r="D19" s="198" t="s">
        <v>376</v>
      </c>
      <c r="E19" s="196" t="s">
        <v>284</v>
      </c>
      <c r="F19" s="196">
        <v>3</v>
      </c>
      <c r="G19" s="196" t="s">
        <v>65</v>
      </c>
      <c r="H19" s="205">
        <v>638543</v>
      </c>
      <c r="I19" s="100"/>
      <c r="J19" s="336"/>
      <c r="K19" s="337"/>
      <c r="M19" s="108">
        <f>_xlfn.XLOOKUP(C:C,'[1]All Data'!$C:$C,'[1]All Data'!$H:$H)</f>
        <v>638543</v>
      </c>
      <c r="N19" s="108"/>
      <c r="O19" s="108">
        <f t="shared" si="0"/>
        <v>0</v>
      </c>
    </row>
    <row r="20" ht="45" customHeight="1" spans="1:15">
      <c r="A20" s="197" t="s">
        <v>341</v>
      </c>
      <c r="B20" s="197" t="s">
        <v>37</v>
      </c>
      <c r="C20" s="197" t="s">
        <v>377</v>
      </c>
      <c r="D20" s="198" t="s">
        <v>378</v>
      </c>
      <c r="E20" s="196" t="s">
        <v>284</v>
      </c>
      <c r="F20" s="196">
        <v>3</v>
      </c>
      <c r="G20" s="196" t="s">
        <v>65</v>
      </c>
      <c r="H20" s="205">
        <v>638543</v>
      </c>
      <c r="I20" s="100"/>
      <c r="J20" s="336"/>
      <c r="K20" s="337"/>
      <c r="M20" s="108">
        <f>_xlfn.XLOOKUP(C:C,'[1]All Data'!$C:$C,'[1]All Data'!$H:$H)</f>
        <v>638543</v>
      </c>
      <c r="N20" s="108"/>
      <c r="O20" s="108">
        <f t="shared" si="0"/>
        <v>0</v>
      </c>
    </row>
    <row r="21" ht="45" customHeight="1" spans="1:15">
      <c r="A21" s="197" t="s">
        <v>341</v>
      </c>
      <c r="B21" s="197" t="s">
        <v>37</v>
      </c>
      <c r="C21" s="197" t="s">
        <v>379</v>
      </c>
      <c r="D21" s="198" t="s">
        <v>380</v>
      </c>
      <c r="E21" s="196" t="s">
        <v>284</v>
      </c>
      <c r="F21" s="196">
        <v>3</v>
      </c>
      <c r="G21" s="196" t="s">
        <v>65</v>
      </c>
      <c r="H21" s="205">
        <v>638543</v>
      </c>
      <c r="I21" s="100"/>
      <c r="J21" s="336"/>
      <c r="K21" s="337"/>
      <c r="M21" s="108">
        <f>_xlfn.XLOOKUP(C:C,'[1]All Data'!$C:$C,'[1]All Data'!$H:$H)</f>
        <v>638543</v>
      </c>
      <c r="N21" s="108"/>
      <c r="O21" s="108">
        <f t="shared" si="0"/>
        <v>0</v>
      </c>
    </row>
    <row r="22" ht="45" customHeight="1" spans="1:15">
      <c r="A22" s="197" t="s">
        <v>341</v>
      </c>
      <c r="B22" s="197" t="s">
        <v>37</v>
      </c>
      <c r="C22" s="197" t="s">
        <v>381</v>
      </c>
      <c r="D22" s="198" t="s">
        <v>382</v>
      </c>
      <c r="E22" s="196" t="s">
        <v>284</v>
      </c>
      <c r="F22" s="196">
        <v>3</v>
      </c>
      <c r="G22" s="196" t="s">
        <v>69</v>
      </c>
      <c r="H22" s="205">
        <v>661348</v>
      </c>
      <c r="I22" s="100"/>
      <c r="J22" s="336"/>
      <c r="K22" s="337"/>
      <c r="M22" s="108">
        <f>_xlfn.XLOOKUP(C:C,'[1]All Data'!$C:$C,'[1]All Data'!$H:$H)</f>
        <v>661348</v>
      </c>
      <c r="N22" s="108"/>
      <c r="O22" s="108">
        <f t="shared" si="0"/>
        <v>0</v>
      </c>
    </row>
    <row r="23" ht="45" customHeight="1" spans="1:15">
      <c r="A23" s="197" t="s">
        <v>341</v>
      </c>
      <c r="B23" s="197" t="s">
        <v>37</v>
      </c>
      <c r="C23" s="197" t="s">
        <v>383</v>
      </c>
      <c r="D23" s="198" t="s">
        <v>384</v>
      </c>
      <c r="E23" s="196" t="s">
        <v>284</v>
      </c>
      <c r="F23" s="196">
        <v>3</v>
      </c>
      <c r="G23" s="196" t="s">
        <v>69</v>
      </c>
      <c r="H23" s="205">
        <v>661348</v>
      </c>
      <c r="I23" s="100"/>
      <c r="J23" s="336"/>
      <c r="K23" s="337"/>
      <c r="M23" s="108">
        <f>_xlfn.XLOOKUP(C:C,'[1]All Data'!$C:$C,'[1]All Data'!$H:$H)</f>
        <v>661348</v>
      </c>
      <c r="N23" s="108"/>
      <c r="O23" s="108">
        <f t="shared" si="0"/>
        <v>0</v>
      </c>
    </row>
    <row r="24" ht="50.25" customHeight="1" spans="1:15">
      <c r="A24" s="197" t="s">
        <v>341</v>
      </c>
      <c r="B24" s="197" t="s">
        <v>37</v>
      </c>
      <c r="C24" s="197" t="s">
        <v>385</v>
      </c>
      <c r="D24" s="198" t="s">
        <v>386</v>
      </c>
      <c r="E24" s="196" t="s">
        <v>284</v>
      </c>
      <c r="F24" s="196">
        <v>3</v>
      </c>
      <c r="G24" s="196" t="s">
        <v>69</v>
      </c>
      <c r="H24" s="205">
        <v>661348</v>
      </c>
      <c r="I24" s="100"/>
      <c r="J24" s="336"/>
      <c r="K24" s="337"/>
      <c r="M24" s="108">
        <f>_xlfn.XLOOKUP(C:C,'[1]All Data'!$C:$C,'[1]All Data'!$H:$H)</f>
        <v>661348</v>
      </c>
      <c r="N24" s="108"/>
      <c r="O24" s="108">
        <f t="shared" si="0"/>
        <v>0</v>
      </c>
    </row>
    <row r="25" ht="48" customHeight="1" spans="1:15">
      <c r="A25" s="197" t="s">
        <v>341</v>
      </c>
      <c r="B25" s="197" t="s">
        <v>37</v>
      </c>
      <c r="C25" s="197" t="s">
        <v>387</v>
      </c>
      <c r="D25" s="198" t="s">
        <v>388</v>
      </c>
      <c r="E25" s="196" t="s">
        <v>284</v>
      </c>
      <c r="F25" s="196">
        <v>3</v>
      </c>
      <c r="G25" s="196" t="s">
        <v>69</v>
      </c>
      <c r="H25" s="205">
        <v>661348</v>
      </c>
      <c r="I25" s="100"/>
      <c r="J25" s="336"/>
      <c r="K25" s="337"/>
      <c r="M25" s="108">
        <f>_xlfn.XLOOKUP(C:C,'[1]All Data'!$C:$C,'[1]All Data'!$H:$H)</f>
        <v>661348</v>
      </c>
      <c r="N25" s="108"/>
      <c r="O25" s="108">
        <f t="shared" si="0"/>
        <v>0</v>
      </c>
    </row>
    <row r="26" ht="45" customHeight="1" spans="1:15">
      <c r="A26" s="197" t="s">
        <v>341</v>
      </c>
      <c r="B26" s="197" t="s">
        <v>37</v>
      </c>
      <c r="C26" s="197" t="s">
        <v>389</v>
      </c>
      <c r="D26" s="198" t="s">
        <v>390</v>
      </c>
      <c r="E26" s="196" t="s">
        <v>284</v>
      </c>
      <c r="F26" s="196">
        <v>3</v>
      </c>
      <c r="G26" s="196" t="s">
        <v>65</v>
      </c>
      <c r="H26" s="205">
        <v>729761</v>
      </c>
      <c r="I26" s="100"/>
      <c r="J26" s="336"/>
      <c r="K26" s="337"/>
      <c r="M26" s="108">
        <f>_xlfn.XLOOKUP(C:C,'[1]All Data'!$C:$C,'[1]All Data'!$H:$H)</f>
        <v>729761</v>
      </c>
      <c r="N26" s="108"/>
      <c r="O26" s="108">
        <f t="shared" si="0"/>
        <v>0</v>
      </c>
    </row>
    <row r="27" ht="45" customHeight="1" spans="1:15">
      <c r="A27" s="197" t="s">
        <v>341</v>
      </c>
      <c r="B27" s="197" t="s">
        <v>37</v>
      </c>
      <c r="C27" s="197" t="s">
        <v>391</v>
      </c>
      <c r="D27" s="198" t="s">
        <v>392</v>
      </c>
      <c r="E27" s="196" t="s">
        <v>284</v>
      </c>
      <c r="F27" s="196">
        <v>3</v>
      </c>
      <c r="G27" s="196" t="s">
        <v>65</v>
      </c>
      <c r="H27" s="205">
        <v>729761</v>
      </c>
      <c r="I27" s="100"/>
      <c r="J27" s="336"/>
      <c r="K27" s="337"/>
      <c r="M27" s="108">
        <f>_xlfn.XLOOKUP(C:C,'[1]All Data'!$C:$C,'[1]All Data'!$H:$H)</f>
        <v>729761</v>
      </c>
      <c r="N27" s="108"/>
      <c r="O27" s="108">
        <f t="shared" si="0"/>
        <v>0</v>
      </c>
    </row>
    <row r="28" ht="45" customHeight="1" spans="1:15">
      <c r="A28" s="197" t="s">
        <v>341</v>
      </c>
      <c r="B28" s="197" t="s">
        <v>37</v>
      </c>
      <c r="C28" s="197" t="s">
        <v>393</v>
      </c>
      <c r="D28" s="198" t="s">
        <v>394</v>
      </c>
      <c r="E28" s="196" t="s">
        <v>284</v>
      </c>
      <c r="F28" s="196">
        <v>3</v>
      </c>
      <c r="G28" s="196" t="s">
        <v>65</v>
      </c>
      <c r="H28" s="205">
        <v>729761</v>
      </c>
      <c r="I28" s="100"/>
      <c r="J28" s="336"/>
      <c r="K28" s="337"/>
      <c r="M28" s="108">
        <f>_xlfn.XLOOKUP(C:C,'[1]All Data'!$C:$C,'[1]All Data'!$H:$H)</f>
        <v>729761</v>
      </c>
      <c r="N28" s="108"/>
      <c r="O28" s="108">
        <f t="shared" si="0"/>
        <v>0</v>
      </c>
    </row>
    <row r="29" ht="45" customHeight="1" spans="1:15">
      <c r="A29" s="197" t="s">
        <v>341</v>
      </c>
      <c r="B29" s="197" t="s">
        <v>37</v>
      </c>
      <c r="C29" s="197" t="s">
        <v>395</v>
      </c>
      <c r="D29" s="198" t="s">
        <v>396</v>
      </c>
      <c r="E29" s="196" t="s">
        <v>284</v>
      </c>
      <c r="F29" s="196">
        <v>3</v>
      </c>
      <c r="G29" s="196" t="s">
        <v>65</v>
      </c>
      <c r="H29" s="205">
        <v>729761</v>
      </c>
      <c r="I29" s="100"/>
      <c r="J29" s="336"/>
      <c r="K29" s="337"/>
      <c r="M29" s="108">
        <f>_xlfn.XLOOKUP(C:C,'[1]All Data'!$C:$C,'[1]All Data'!$H:$H)</f>
        <v>729761</v>
      </c>
      <c r="N29" s="108"/>
      <c r="O29" s="108">
        <f t="shared" si="0"/>
        <v>0</v>
      </c>
    </row>
    <row r="30" ht="30" customHeight="1" spans="1:15">
      <c r="A30" s="197" t="s">
        <v>397</v>
      </c>
      <c r="B30" s="197" t="s">
        <v>25</v>
      </c>
      <c r="C30" s="197" t="s">
        <v>398</v>
      </c>
      <c r="D30" s="338" t="s">
        <v>399</v>
      </c>
      <c r="E30" s="196" t="s">
        <v>284</v>
      </c>
      <c r="F30" s="196">
        <v>3</v>
      </c>
      <c r="G30" s="196" t="s">
        <v>65</v>
      </c>
      <c r="H30" s="205">
        <v>22408</v>
      </c>
      <c r="I30" s="100"/>
      <c r="J30" s="336"/>
      <c r="K30" s="337"/>
      <c r="M30" s="108">
        <f>_xlfn.XLOOKUP(C:C,'[1]All Data'!$C:$C,'[1]All Data'!$H:$H)</f>
        <v>22408</v>
      </c>
      <c r="N30" s="108"/>
      <c r="O30" s="108">
        <f t="shared" si="0"/>
        <v>0</v>
      </c>
    </row>
    <row r="31" ht="30" customHeight="1" spans="1:15">
      <c r="A31" s="197" t="s">
        <v>397</v>
      </c>
      <c r="B31" s="197" t="s">
        <v>25</v>
      </c>
      <c r="C31" s="197" t="s">
        <v>400</v>
      </c>
      <c r="D31" s="338" t="s">
        <v>401</v>
      </c>
      <c r="E31" s="196" t="s">
        <v>284</v>
      </c>
      <c r="F31" s="196">
        <v>3</v>
      </c>
      <c r="G31" s="196" t="s">
        <v>65</v>
      </c>
      <c r="H31" s="205">
        <v>22408</v>
      </c>
      <c r="I31" s="100"/>
      <c r="J31" s="336"/>
      <c r="K31" s="337"/>
      <c r="M31" s="108">
        <f>_xlfn.XLOOKUP(C:C,'[1]All Data'!$C:$C,'[1]All Data'!$H:$H)</f>
        <v>22408</v>
      </c>
      <c r="N31" s="108"/>
      <c r="O31" s="108">
        <f t="shared" si="0"/>
        <v>0</v>
      </c>
    </row>
    <row r="32" ht="30" customHeight="1" spans="1:15">
      <c r="A32" s="197" t="s">
        <v>397</v>
      </c>
      <c r="B32" s="197" t="s">
        <v>25</v>
      </c>
      <c r="C32" s="197" t="s">
        <v>402</v>
      </c>
      <c r="D32" s="198" t="s">
        <v>403</v>
      </c>
      <c r="E32" s="196" t="s">
        <v>284</v>
      </c>
      <c r="F32" s="196">
        <v>3</v>
      </c>
      <c r="G32" s="196" t="s">
        <v>65</v>
      </c>
      <c r="H32" s="205">
        <v>22408</v>
      </c>
      <c r="I32" s="100"/>
      <c r="J32" s="336"/>
      <c r="K32" s="337"/>
      <c r="M32" s="108">
        <f>_xlfn.XLOOKUP(C:C,'[1]All Data'!$C:$C,'[1]All Data'!$H:$H)</f>
        <v>22408</v>
      </c>
      <c r="N32" s="108"/>
      <c r="O32" s="108">
        <f t="shared" si="0"/>
        <v>0</v>
      </c>
    </row>
    <row r="33" ht="30" customHeight="1" spans="1:15">
      <c r="A33" s="197" t="s">
        <v>397</v>
      </c>
      <c r="B33" s="197" t="s">
        <v>25</v>
      </c>
      <c r="C33" s="197" t="s">
        <v>404</v>
      </c>
      <c r="D33" s="198" t="s">
        <v>405</v>
      </c>
      <c r="E33" s="196" t="s">
        <v>284</v>
      </c>
      <c r="F33" s="196">
        <v>3</v>
      </c>
      <c r="G33" s="196" t="s">
        <v>65</v>
      </c>
      <c r="H33" s="205">
        <v>22408</v>
      </c>
      <c r="I33" s="100"/>
      <c r="J33" s="336"/>
      <c r="K33" s="337"/>
      <c r="M33" s="108">
        <f>_xlfn.XLOOKUP(C:C,'[1]All Data'!$C:$C,'[1]All Data'!$H:$H)</f>
        <v>22408</v>
      </c>
      <c r="N33" s="108"/>
      <c r="O33" s="108">
        <f t="shared" si="0"/>
        <v>0</v>
      </c>
    </row>
    <row r="34" ht="30" customHeight="1" spans="1:15">
      <c r="A34" s="197" t="s">
        <v>397</v>
      </c>
      <c r="B34" s="197" t="s">
        <v>25</v>
      </c>
      <c r="C34" s="197" t="s">
        <v>406</v>
      </c>
      <c r="D34" s="339" t="s">
        <v>407</v>
      </c>
      <c r="E34" s="196" t="s">
        <v>284</v>
      </c>
      <c r="F34" s="196">
        <v>3</v>
      </c>
      <c r="G34" s="196" t="s">
        <v>65</v>
      </c>
      <c r="H34" s="205">
        <v>22408</v>
      </c>
      <c r="I34" s="100"/>
      <c r="J34" s="336"/>
      <c r="K34" s="337"/>
      <c r="M34" s="108">
        <f>_xlfn.XLOOKUP(C:C,'[1]All Data'!$C:$C,'[1]All Data'!$H:$H)</f>
        <v>22408</v>
      </c>
      <c r="N34" s="108"/>
      <c r="O34" s="108">
        <f t="shared" si="0"/>
        <v>0</v>
      </c>
    </row>
    <row r="35" ht="30" customHeight="1" spans="1:15">
      <c r="A35" s="197" t="s">
        <v>397</v>
      </c>
      <c r="B35" s="197" t="s">
        <v>25</v>
      </c>
      <c r="C35" s="197" t="s">
        <v>408</v>
      </c>
      <c r="D35" s="339" t="s">
        <v>409</v>
      </c>
      <c r="E35" s="196" t="s">
        <v>284</v>
      </c>
      <c r="F35" s="196">
        <v>3</v>
      </c>
      <c r="G35" s="196" t="s">
        <v>65</v>
      </c>
      <c r="H35" s="205">
        <v>22408</v>
      </c>
      <c r="I35" s="100"/>
      <c r="J35" s="336"/>
      <c r="K35" s="337"/>
      <c r="M35" s="108">
        <f>_xlfn.XLOOKUP(C:C,'[1]All Data'!$C:$C,'[1]All Data'!$H:$H)</f>
        <v>22408</v>
      </c>
      <c r="N35" s="108"/>
      <c r="O35" s="108">
        <f t="shared" si="0"/>
        <v>0</v>
      </c>
    </row>
    <row r="36" ht="30" customHeight="1" spans="1:15">
      <c r="A36" s="197" t="s">
        <v>397</v>
      </c>
      <c r="B36" s="197" t="s">
        <v>25</v>
      </c>
      <c r="C36" s="197" t="s">
        <v>410</v>
      </c>
      <c r="D36" s="209" t="s">
        <v>411</v>
      </c>
      <c r="E36" s="196" t="s">
        <v>284</v>
      </c>
      <c r="F36" s="196">
        <v>3</v>
      </c>
      <c r="G36" s="196" t="s">
        <v>65</v>
      </c>
      <c r="H36" s="205">
        <v>22408</v>
      </c>
      <c r="I36" s="100"/>
      <c r="J36" s="336"/>
      <c r="K36" s="337"/>
      <c r="M36" s="108">
        <f>_xlfn.XLOOKUP(C:C,'[1]All Data'!$C:$C,'[1]All Data'!$H:$H)</f>
        <v>22408</v>
      </c>
      <c r="N36" s="108"/>
      <c r="O36" s="108">
        <f t="shared" si="0"/>
        <v>0</v>
      </c>
    </row>
    <row r="37" ht="30" customHeight="1" spans="1:15">
      <c r="A37" s="197" t="s">
        <v>397</v>
      </c>
      <c r="B37" s="197" t="s">
        <v>25</v>
      </c>
      <c r="C37" s="197" t="s">
        <v>412</v>
      </c>
      <c r="D37" s="209" t="s">
        <v>413</v>
      </c>
      <c r="E37" s="196" t="s">
        <v>284</v>
      </c>
      <c r="F37" s="196">
        <v>3</v>
      </c>
      <c r="G37" s="196" t="s">
        <v>65</v>
      </c>
      <c r="H37" s="205">
        <v>22408</v>
      </c>
      <c r="I37" s="100"/>
      <c r="J37" s="336"/>
      <c r="K37" s="337"/>
      <c r="M37" s="108">
        <f>_xlfn.XLOOKUP(C:C,'[1]All Data'!$C:$C,'[1]All Data'!$H:$H)</f>
        <v>22408</v>
      </c>
      <c r="N37" s="108"/>
      <c r="O37" s="108">
        <f t="shared" si="0"/>
        <v>0</v>
      </c>
    </row>
    <row r="38" ht="30" customHeight="1" spans="1:15">
      <c r="A38" s="197" t="s">
        <v>414</v>
      </c>
      <c r="B38" s="197" t="s">
        <v>44</v>
      </c>
      <c r="C38" s="197" t="s">
        <v>415</v>
      </c>
      <c r="D38" s="340" t="s">
        <v>416</v>
      </c>
      <c r="E38" s="196" t="s">
        <v>284</v>
      </c>
      <c r="F38" s="196">
        <v>6</v>
      </c>
      <c r="G38" s="196" t="s">
        <v>65</v>
      </c>
      <c r="H38" s="72">
        <v>74434</v>
      </c>
      <c r="I38" s="100"/>
      <c r="J38" s="200"/>
      <c r="K38" s="200"/>
      <c r="M38" s="108">
        <f>_xlfn.XLOOKUP(C:C,'[1]All Data'!$C:$C,'[1]All Data'!$H:$H)</f>
        <v>74434</v>
      </c>
      <c r="N38" s="108"/>
      <c r="O38" s="108">
        <f t="shared" si="0"/>
        <v>0</v>
      </c>
    </row>
    <row r="39" ht="29" customHeight="1" spans="1:15">
      <c r="A39" s="197" t="s">
        <v>414</v>
      </c>
      <c r="B39" s="197" t="s">
        <v>44</v>
      </c>
      <c r="C39" s="197" t="s">
        <v>417</v>
      </c>
      <c r="D39" s="340" t="s">
        <v>418</v>
      </c>
      <c r="E39" s="196" t="s">
        <v>284</v>
      </c>
      <c r="F39" s="196">
        <v>6</v>
      </c>
      <c r="G39" s="196" t="s">
        <v>65</v>
      </c>
      <c r="H39" s="72">
        <v>186214</v>
      </c>
      <c r="I39" s="100"/>
      <c r="J39" s="200"/>
      <c r="K39" s="200"/>
      <c r="M39" s="108">
        <f>_xlfn.XLOOKUP(C:C,'[1]All Data'!$C:$C,'[1]All Data'!$H:$H)</f>
        <v>186214</v>
      </c>
      <c r="N39" s="108"/>
      <c r="O39" s="108">
        <f t="shared" si="0"/>
        <v>0</v>
      </c>
    </row>
    <row r="40" ht="45" customHeight="1" spans="1:15">
      <c r="A40" s="197" t="s">
        <v>414</v>
      </c>
      <c r="B40" s="202" t="s">
        <v>44</v>
      </c>
      <c r="C40" s="197" t="s">
        <v>419</v>
      </c>
      <c r="D40" s="341" t="s">
        <v>420</v>
      </c>
      <c r="E40" s="196" t="s">
        <v>284</v>
      </c>
      <c r="F40" s="196">
        <v>6</v>
      </c>
      <c r="G40" s="196" t="s">
        <v>69</v>
      </c>
      <c r="H40" s="205">
        <v>37260</v>
      </c>
      <c r="I40" s="100"/>
      <c r="J40" s="206"/>
      <c r="K40" s="206"/>
      <c r="M40" s="108">
        <f>_xlfn.XLOOKUP(C:C,'[1]All Data'!$C:$C,'[1]All Data'!$H:$H)</f>
        <v>37260</v>
      </c>
      <c r="N40" s="108"/>
      <c r="O40" s="108">
        <f t="shared" si="0"/>
        <v>0</v>
      </c>
    </row>
    <row r="41" ht="15" customHeight="1" spans="1:15">
      <c r="A41" s="197" t="s">
        <v>421</v>
      </c>
      <c r="B41" s="197" t="s">
        <v>28</v>
      </c>
      <c r="C41" s="197" t="s">
        <v>422</v>
      </c>
      <c r="D41" s="198" t="s">
        <v>423</v>
      </c>
      <c r="E41" s="196" t="s">
        <v>284</v>
      </c>
      <c r="F41" s="196">
        <v>3</v>
      </c>
      <c r="G41" s="196" t="s">
        <v>65</v>
      </c>
      <c r="H41" s="205">
        <v>23253</v>
      </c>
      <c r="I41" s="100"/>
      <c r="J41" s="342"/>
      <c r="K41" s="337"/>
      <c r="M41" s="108">
        <f>_xlfn.XLOOKUP(C:C,'[1]All Data'!$C:$C,'[1]All Data'!$H:$H)</f>
        <v>23253</v>
      </c>
      <c r="N41" s="108"/>
      <c r="O41" s="108">
        <f t="shared" si="0"/>
        <v>0</v>
      </c>
    </row>
    <row r="42" ht="15" customHeight="1" spans="1:15">
      <c r="A42" s="197" t="s">
        <v>421</v>
      </c>
      <c r="B42" s="197" t="s">
        <v>28</v>
      </c>
      <c r="C42" s="197" t="s">
        <v>424</v>
      </c>
      <c r="D42" s="198" t="s">
        <v>425</v>
      </c>
      <c r="E42" s="196" t="s">
        <v>284</v>
      </c>
      <c r="F42" s="196">
        <v>3</v>
      </c>
      <c r="G42" s="196" t="s">
        <v>65</v>
      </c>
      <c r="H42" s="205">
        <v>23253</v>
      </c>
      <c r="I42" s="100"/>
      <c r="J42" s="342"/>
      <c r="K42" s="337"/>
      <c r="M42" s="108">
        <f>_xlfn.XLOOKUP(C:C,'[1]All Data'!$C:$C,'[1]All Data'!$H:$H)</f>
        <v>23253</v>
      </c>
      <c r="N42" s="108"/>
      <c r="O42" s="108">
        <f t="shared" si="0"/>
        <v>0</v>
      </c>
    </row>
    <row r="43" ht="30" customHeight="1" spans="1:15">
      <c r="A43" s="197" t="s">
        <v>421</v>
      </c>
      <c r="B43" s="197" t="s">
        <v>28</v>
      </c>
      <c r="C43" s="197" t="s">
        <v>426</v>
      </c>
      <c r="D43" s="198" t="s">
        <v>427</v>
      </c>
      <c r="E43" s="196" t="s">
        <v>284</v>
      </c>
      <c r="F43" s="196">
        <v>3</v>
      </c>
      <c r="G43" s="196" t="s">
        <v>65</v>
      </c>
      <c r="H43" s="205">
        <v>23253</v>
      </c>
      <c r="I43" s="100"/>
      <c r="J43" s="342"/>
      <c r="K43" s="337"/>
      <c r="M43" s="108">
        <f>_xlfn.XLOOKUP(C:C,'[1]All Data'!$C:$C,'[1]All Data'!$H:$H)</f>
        <v>23253</v>
      </c>
      <c r="N43" s="108"/>
      <c r="O43" s="108">
        <f t="shared" si="0"/>
        <v>0</v>
      </c>
    </row>
    <row r="44" ht="30" customHeight="1" spans="1:15">
      <c r="A44" s="197" t="s">
        <v>421</v>
      </c>
      <c r="B44" s="197" t="s">
        <v>28</v>
      </c>
      <c r="C44" s="197" t="s">
        <v>428</v>
      </c>
      <c r="D44" s="198" t="s">
        <v>429</v>
      </c>
      <c r="E44" s="196" t="s">
        <v>284</v>
      </c>
      <c r="F44" s="196">
        <v>3</v>
      </c>
      <c r="G44" s="196" t="s">
        <v>65</v>
      </c>
      <c r="H44" s="205">
        <v>23253</v>
      </c>
      <c r="I44" s="100"/>
      <c r="J44" s="342"/>
      <c r="K44" s="337"/>
      <c r="M44" s="108">
        <f>_xlfn.XLOOKUP(C:C,'[1]All Data'!$C:$C,'[1]All Data'!$H:$H)</f>
        <v>23253</v>
      </c>
      <c r="N44" s="108"/>
      <c r="O44" s="108">
        <f t="shared" si="0"/>
        <v>0</v>
      </c>
    </row>
    <row r="45" ht="15" customHeight="1" spans="1:15">
      <c r="A45" s="197" t="s">
        <v>430</v>
      </c>
      <c r="B45" s="197" t="s">
        <v>28</v>
      </c>
      <c r="C45" s="197" t="s">
        <v>431</v>
      </c>
      <c r="D45" s="198" t="s">
        <v>432</v>
      </c>
      <c r="E45" s="196" t="s">
        <v>284</v>
      </c>
      <c r="F45" s="196">
        <v>3</v>
      </c>
      <c r="G45" s="196" t="s">
        <v>65</v>
      </c>
      <c r="H45" s="205">
        <v>23253</v>
      </c>
      <c r="I45" s="100"/>
      <c r="J45" s="342"/>
      <c r="K45" s="337"/>
      <c r="M45" s="108">
        <f>_xlfn.XLOOKUP(C:C,'[1]All Data'!$C:$C,'[1]All Data'!$H:$H)</f>
        <v>23253</v>
      </c>
      <c r="N45" s="108"/>
      <c r="O45" s="108">
        <f t="shared" si="0"/>
        <v>0</v>
      </c>
    </row>
    <row r="46" ht="15" customHeight="1" spans="1:15">
      <c r="A46" s="197" t="s">
        <v>430</v>
      </c>
      <c r="B46" s="197" t="s">
        <v>28</v>
      </c>
      <c r="C46" s="197" t="s">
        <v>433</v>
      </c>
      <c r="D46" s="198" t="s">
        <v>434</v>
      </c>
      <c r="E46" s="196" t="s">
        <v>284</v>
      </c>
      <c r="F46" s="196">
        <v>3</v>
      </c>
      <c r="G46" s="196" t="s">
        <v>65</v>
      </c>
      <c r="H46" s="205">
        <v>23253</v>
      </c>
      <c r="I46" s="100"/>
      <c r="J46" s="336"/>
      <c r="K46" s="337"/>
      <c r="M46" s="108">
        <f>_xlfn.XLOOKUP(C:C,'[1]All Data'!$C:$C,'[1]All Data'!$H:$H)</f>
        <v>23253</v>
      </c>
      <c r="N46" s="108"/>
      <c r="O46" s="108">
        <f t="shared" si="0"/>
        <v>0</v>
      </c>
    </row>
    <row r="47" ht="15" customHeight="1" spans="1:15">
      <c r="A47" s="197" t="s">
        <v>430</v>
      </c>
      <c r="B47" s="197" t="s">
        <v>435</v>
      </c>
      <c r="C47" s="197" t="s">
        <v>436</v>
      </c>
      <c r="D47" s="198" t="s">
        <v>437</v>
      </c>
      <c r="E47" s="196" t="s">
        <v>284</v>
      </c>
      <c r="F47" s="196">
        <v>0</v>
      </c>
      <c r="G47" s="196" t="s">
        <v>69</v>
      </c>
      <c r="H47" s="205">
        <v>2329</v>
      </c>
      <c r="I47" s="100"/>
      <c r="J47" s="336"/>
      <c r="K47" s="337"/>
      <c r="M47" s="108">
        <f>_xlfn.XLOOKUP(C:C,'[1]All Data'!$C:$C,'[1]All Data'!$H:$H)</f>
        <v>2329</v>
      </c>
      <c r="N47" s="108"/>
      <c r="O47" s="108">
        <f t="shared" si="0"/>
        <v>0</v>
      </c>
    </row>
    <row r="48" ht="30" customHeight="1" spans="1:15">
      <c r="A48" s="343" t="s">
        <v>438</v>
      </c>
      <c r="B48" s="197" t="s">
        <v>435</v>
      </c>
      <c r="C48" s="344" t="s">
        <v>439</v>
      </c>
      <c r="D48" s="198" t="s">
        <v>440</v>
      </c>
      <c r="E48" s="196" t="s">
        <v>441</v>
      </c>
      <c r="F48" s="196">
        <v>0</v>
      </c>
      <c r="G48" s="262" t="s">
        <v>69</v>
      </c>
      <c r="H48" s="344">
        <v>932</v>
      </c>
      <c r="I48" s="345"/>
      <c r="J48" s="100"/>
      <c r="K48" s="159"/>
      <c r="M48" s="108">
        <f>_xlfn.XLOOKUP(C:C,'[1]All Data'!$C:$C,'[1]All Data'!$H:$H)</f>
        <v>932</v>
      </c>
      <c r="N48" s="108"/>
      <c r="O48" s="108">
        <f t="shared" si="0"/>
        <v>0</v>
      </c>
    </row>
    <row r="49" ht="30" customHeight="1" spans="1:15">
      <c r="A49" s="343" t="s">
        <v>438</v>
      </c>
      <c r="B49" s="197" t="s">
        <v>435</v>
      </c>
      <c r="C49" s="344" t="s">
        <v>442</v>
      </c>
      <c r="D49" s="346" t="s">
        <v>443</v>
      </c>
      <c r="E49" s="196" t="s">
        <v>444</v>
      </c>
      <c r="F49" s="196">
        <v>1</v>
      </c>
      <c r="G49" s="262" t="s">
        <v>65</v>
      </c>
      <c r="H49" s="344">
        <v>8936</v>
      </c>
      <c r="I49" s="345"/>
      <c r="J49" s="100"/>
      <c r="K49" s="347"/>
      <c r="M49" s="108">
        <f>_xlfn.XLOOKUP(C:C,'[1]All Data'!$C:$C,'[1]All Data'!$H:$H)</f>
        <v>8936</v>
      </c>
      <c r="N49" s="108"/>
      <c r="O49" s="108">
        <f t="shared" si="0"/>
        <v>0</v>
      </c>
    </row>
    <row r="50" ht="30" customHeight="1" spans="1:15">
      <c r="A50" s="197" t="s">
        <v>445</v>
      </c>
      <c r="B50" s="197" t="s">
        <v>49</v>
      </c>
      <c r="C50" s="197" t="s">
        <v>446</v>
      </c>
      <c r="D50" s="198" t="s">
        <v>447</v>
      </c>
      <c r="E50" s="196" t="s">
        <v>132</v>
      </c>
      <c r="F50" s="196">
        <v>1</v>
      </c>
      <c r="G50" s="196" t="s">
        <v>65</v>
      </c>
      <c r="H50" s="72">
        <v>474</v>
      </c>
      <c r="I50" s="100"/>
      <c r="J50" s="336"/>
      <c r="K50" s="200"/>
      <c r="M50" s="108">
        <f>_xlfn.XLOOKUP(C:C,'[1]All Data'!$C:$C,'[1]All Data'!$H:$H)</f>
        <v>474</v>
      </c>
      <c r="N50" s="108"/>
      <c r="O50" s="108">
        <f t="shared" si="0"/>
        <v>0</v>
      </c>
    </row>
    <row r="51" ht="30" customHeight="1" spans="1:15">
      <c r="A51" s="196" t="s">
        <v>445</v>
      </c>
      <c r="B51" s="197" t="s">
        <v>49</v>
      </c>
      <c r="C51" s="197" t="s">
        <v>448</v>
      </c>
      <c r="D51" s="198" t="s">
        <v>449</v>
      </c>
      <c r="E51" s="196" t="s">
        <v>132</v>
      </c>
      <c r="F51" s="196">
        <v>0</v>
      </c>
      <c r="G51" s="262" t="s">
        <v>69</v>
      </c>
      <c r="H51" s="72">
        <v>5693</v>
      </c>
      <c r="I51" s="100"/>
      <c r="J51" s="200"/>
      <c r="K51" s="95"/>
      <c r="M51" s="108">
        <f>_xlfn.XLOOKUP(C:C,'[1]All Data'!$C:$C,'[1]All Data'!$H:$H)</f>
        <v>5693</v>
      </c>
      <c r="N51" s="108"/>
      <c r="O51" s="108">
        <f t="shared" si="0"/>
        <v>0</v>
      </c>
    </row>
    <row r="52" ht="30" customHeight="1" spans="1:15">
      <c r="A52" s="196" t="s">
        <v>445</v>
      </c>
      <c r="B52" s="197" t="s">
        <v>49</v>
      </c>
      <c r="C52" s="197" t="s">
        <v>450</v>
      </c>
      <c r="D52" s="198" t="s">
        <v>451</v>
      </c>
      <c r="E52" s="196" t="s">
        <v>132</v>
      </c>
      <c r="F52" s="196">
        <v>0</v>
      </c>
      <c r="G52" s="262" t="s">
        <v>69</v>
      </c>
      <c r="H52" s="72">
        <v>10695</v>
      </c>
      <c r="I52" s="100"/>
      <c r="J52" s="200"/>
      <c r="K52" s="95"/>
      <c r="M52" s="108">
        <f>_xlfn.XLOOKUP(C:C,'[1]All Data'!$C:$C,'[1]All Data'!$H:$H)</f>
        <v>10695</v>
      </c>
      <c r="N52" s="108"/>
      <c r="O52" s="108">
        <f t="shared" si="0"/>
        <v>0</v>
      </c>
    </row>
    <row r="53" ht="30" customHeight="1" spans="1:15">
      <c r="A53" s="196" t="s">
        <v>445</v>
      </c>
      <c r="B53" s="197" t="s">
        <v>49</v>
      </c>
      <c r="C53" s="197" t="s">
        <v>452</v>
      </c>
      <c r="D53" s="198" t="s">
        <v>453</v>
      </c>
      <c r="E53" s="196" t="s">
        <v>132</v>
      </c>
      <c r="F53" s="196">
        <v>0</v>
      </c>
      <c r="G53" s="196" t="s">
        <v>69</v>
      </c>
      <c r="H53" s="72">
        <v>15525</v>
      </c>
      <c r="I53" s="100"/>
      <c r="J53" s="336"/>
      <c r="K53" s="207"/>
      <c r="M53" s="108">
        <f>_xlfn.XLOOKUP(C:C,'[1]All Data'!$C:$C,'[1]All Data'!$H:$H)</f>
        <v>15525</v>
      </c>
      <c r="N53" s="108"/>
      <c r="O53" s="108">
        <f t="shared" si="0"/>
        <v>0</v>
      </c>
    </row>
    <row r="54" ht="30" customHeight="1" spans="1:15">
      <c r="A54" s="197" t="s">
        <v>445</v>
      </c>
      <c r="B54" s="197" t="s">
        <v>49</v>
      </c>
      <c r="C54" s="197" t="s">
        <v>454</v>
      </c>
      <c r="D54" s="198" t="s">
        <v>455</v>
      </c>
      <c r="E54" s="196" t="s">
        <v>132</v>
      </c>
      <c r="F54" s="196">
        <v>0</v>
      </c>
      <c r="G54" s="196" t="s">
        <v>69</v>
      </c>
      <c r="H54" s="72">
        <v>24167</v>
      </c>
      <c r="I54" s="100"/>
      <c r="J54" s="336"/>
      <c r="K54" s="207"/>
      <c r="M54" s="108">
        <f>_xlfn.XLOOKUP(C:C,'[1]All Data'!$C:$C,'[1]All Data'!$H:$H)</f>
        <v>24167</v>
      </c>
      <c r="N54" s="108"/>
      <c r="O54" s="108">
        <f t="shared" si="0"/>
        <v>0</v>
      </c>
    </row>
    <row r="55" ht="30" customHeight="1" spans="1:15">
      <c r="A55" s="196" t="s">
        <v>445</v>
      </c>
      <c r="B55" s="197" t="s">
        <v>49</v>
      </c>
      <c r="C55" s="197" t="s">
        <v>456</v>
      </c>
      <c r="D55" s="284" t="s">
        <v>457</v>
      </c>
      <c r="E55" s="196" t="s">
        <v>132</v>
      </c>
      <c r="F55" s="196">
        <v>0</v>
      </c>
      <c r="G55" s="262" t="s">
        <v>69</v>
      </c>
      <c r="H55" s="72" t="s">
        <v>143</v>
      </c>
      <c r="I55" s="100"/>
      <c r="J55" s="200"/>
      <c r="K55" s="95"/>
      <c r="M55" s="108" t="str">
        <f>_xlfn.XLOOKUP(C:C,'[1]All Data'!$C:$C,'[1]All Data'!$H:$H)</f>
        <v>Per Quote</v>
      </c>
      <c r="N55" s="108"/>
      <c r="O55" s="108" t="e">
        <f t="shared" si="0"/>
        <v>#VALUE!</v>
      </c>
    </row>
    <row r="56" ht="30" customHeight="1" spans="1:15">
      <c r="A56" s="196" t="s">
        <v>445</v>
      </c>
      <c r="B56" s="197" t="s">
        <v>49</v>
      </c>
      <c r="C56" s="197" t="s">
        <v>458</v>
      </c>
      <c r="D56" s="284" t="s">
        <v>459</v>
      </c>
      <c r="E56" s="196" t="s">
        <v>132</v>
      </c>
      <c r="F56" s="196">
        <v>0</v>
      </c>
      <c r="G56" s="262" t="s">
        <v>69</v>
      </c>
      <c r="H56" s="72" t="s">
        <v>143</v>
      </c>
      <c r="I56" s="100"/>
      <c r="J56" s="200"/>
      <c r="K56" s="95"/>
      <c r="M56" s="108" t="str">
        <f>_xlfn.XLOOKUP(C:C,'[1]All Data'!$C:$C,'[1]All Data'!$H:$H)</f>
        <v>Per Quote</v>
      </c>
      <c r="N56" s="108"/>
      <c r="O56" s="108" t="e">
        <f t="shared" si="0"/>
        <v>#VALUE!</v>
      </c>
    </row>
    <row r="57" ht="45" customHeight="1" spans="1:15">
      <c r="A57" s="196" t="s">
        <v>445</v>
      </c>
      <c r="B57" s="197" t="s">
        <v>49</v>
      </c>
      <c r="C57" s="197" t="s">
        <v>460</v>
      </c>
      <c r="D57" s="198" t="s">
        <v>461</v>
      </c>
      <c r="E57" s="196" t="s">
        <v>132</v>
      </c>
      <c r="F57" s="196">
        <v>1</v>
      </c>
      <c r="G57" s="196" t="s">
        <v>65</v>
      </c>
      <c r="H57" s="72">
        <v>933</v>
      </c>
      <c r="I57" s="100"/>
      <c r="J57" s="336"/>
      <c r="K57" s="200"/>
      <c r="M57" s="108">
        <f>_xlfn.XLOOKUP(C:C,'[1]All Data'!$C:$C,'[1]All Data'!$H:$H)</f>
        <v>933</v>
      </c>
      <c r="N57" s="108"/>
      <c r="O57" s="108">
        <f t="shared" si="0"/>
        <v>0</v>
      </c>
    </row>
    <row r="58" ht="45" customHeight="1" spans="1:15">
      <c r="A58" s="196" t="s">
        <v>445</v>
      </c>
      <c r="B58" s="197" t="s">
        <v>49</v>
      </c>
      <c r="C58" s="197" t="s">
        <v>462</v>
      </c>
      <c r="D58" s="198" t="s">
        <v>463</v>
      </c>
      <c r="E58" s="196" t="s">
        <v>132</v>
      </c>
      <c r="F58" s="196">
        <v>0</v>
      </c>
      <c r="G58" s="196" t="s">
        <v>69</v>
      </c>
      <c r="H58" s="72">
        <v>11195</v>
      </c>
      <c r="I58" s="100"/>
      <c r="J58" s="336"/>
      <c r="K58" s="207"/>
      <c r="M58" s="108">
        <f>_xlfn.XLOOKUP(C:C,'[1]All Data'!$C:$C,'[1]All Data'!$H:$H)</f>
        <v>11195</v>
      </c>
      <c r="N58" s="108"/>
      <c r="O58" s="108">
        <f t="shared" si="0"/>
        <v>0</v>
      </c>
    </row>
    <row r="59" ht="30" customHeight="1" spans="1:15">
      <c r="A59" s="196" t="s">
        <v>445</v>
      </c>
      <c r="B59" s="197" t="s">
        <v>49</v>
      </c>
      <c r="C59" s="197" t="s">
        <v>464</v>
      </c>
      <c r="D59" s="198" t="s">
        <v>465</v>
      </c>
      <c r="E59" s="196" t="s">
        <v>132</v>
      </c>
      <c r="F59" s="196">
        <v>0</v>
      </c>
      <c r="G59" s="262" t="s">
        <v>69</v>
      </c>
      <c r="H59" s="72">
        <v>21062</v>
      </c>
      <c r="I59" s="100"/>
      <c r="J59" s="200"/>
      <c r="K59" s="95"/>
      <c r="M59" s="108">
        <f>_xlfn.XLOOKUP(C:C,'[1]All Data'!$C:$C,'[1]All Data'!$H:$H)</f>
        <v>21062</v>
      </c>
      <c r="N59" s="108"/>
      <c r="O59" s="108">
        <f t="shared" si="0"/>
        <v>0</v>
      </c>
    </row>
    <row r="60" ht="45" customHeight="1" spans="1:15">
      <c r="A60" s="197" t="s">
        <v>445</v>
      </c>
      <c r="B60" s="197" t="s">
        <v>49</v>
      </c>
      <c r="C60" s="197" t="s">
        <v>466</v>
      </c>
      <c r="D60" s="198" t="s">
        <v>467</v>
      </c>
      <c r="E60" s="196" t="s">
        <v>132</v>
      </c>
      <c r="F60" s="196">
        <v>0</v>
      </c>
      <c r="G60" s="196" t="s">
        <v>69</v>
      </c>
      <c r="H60" s="72">
        <v>30567</v>
      </c>
      <c r="I60" s="100"/>
      <c r="J60" s="336"/>
      <c r="K60" s="207"/>
      <c r="M60" s="108">
        <f>_xlfn.XLOOKUP(C:C,'[1]All Data'!$C:$C,'[1]All Data'!$H:$H)</f>
        <v>30567</v>
      </c>
      <c r="N60" s="108"/>
      <c r="O60" s="108">
        <f t="shared" si="0"/>
        <v>0</v>
      </c>
    </row>
    <row r="61" ht="45" customHeight="1" spans="1:15">
      <c r="A61" s="197" t="s">
        <v>445</v>
      </c>
      <c r="B61" s="197" t="s">
        <v>49</v>
      </c>
      <c r="C61" s="197" t="s">
        <v>468</v>
      </c>
      <c r="D61" s="198" t="s">
        <v>469</v>
      </c>
      <c r="E61" s="196" t="s">
        <v>132</v>
      </c>
      <c r="F61" s="196">
        <v>0</v>
      </c>
      <c r="G61" s="196" t="s">
        <v>69</v>
      </c>
      <c r="H61" s="72">
        <v>47593</v>
      </c>
      <c r="I61" s="100"/>
      <c r="J61" s="336"/>
      <c r="K61" s="207"/>
      <c r="M61" s="108">
        <f>_xlfn.XLOOKUP(C:C,'[1]All Data'!$C:$C,'[1]All Data'!$H:$H)</f>
        <v>47593</v>
      </c>
      <c r="N61" s="108"/>
      <c r="O61" s="108">
        <f t="shared" si="0"/>
        <v>0</v>
      </c>
    </row>
    <row r="62" ht="30" customHeight="1" spans="1:15">
      <c r="A62" s="196" t="s">
        <v>445</v>
      </c>
      <c r="B62" s="197" t="s">
        <v>49</v>
      </c>
      <c r="C62" s="197" t="s">
        <v>470</v>
      </c>
      <c r="D62" s="284" t="s">
        <v>471</v>
      </c>
      <c r="E62" s="196" t="s">
        <v>132</v>
      </c>
      <c r="F62" s="196">
        <v>0</v>
      </c>
      <c r="G62" s="262" t="s">
        <v>69</v>
      </c>
      <c r="H62" s="72" t="s">
        <v>143</v>
      </c>
      <c r="I62" s="100"/>
      <c r="J62" s="200"/>
      <c r="K62" s="95"/>
      <c r="M62" s="108" t="str">
        <f>_xlfn.XLOOKUP(C:C,'[1]All Data'!$C:$C,'[1]All Data'!$H:$H)</f>
        <v>Per Quote</v>
      </c>
      <c r="N62" s="108"/>
      <c r="O62" s="108" t="e">
        <f t="shared" si="0"/>
        <v>#VALUE!</v>
      </c>
    </row>
    <row r="63" ht="30" customHeight="1" spans="1:15">
      <c r="A63" s="196" t="s">
        <v>445</v>
      </c>
      <c r="B63" s="197" t="s">
        <v>49</v>
      </c>
      <c r="C63" s="197" t="s">
        <v>472</v>
      </c>
      <c r="D63" s="284" t="s">
        <v>473</v>
      </c>
      <c r="E63" s="196" t="s">
        <v>132</v>
      </c>
      <c r="F63" s="196">
        <v>0</v>
      </c>
      <c r="G63" s="262" t="s">
        <v>69</v>
      </c>
      <c r="H63" s="72" t="s">
        <v>143</v>
      </c>
      <c r="I63" s="100"/>
      <c r="J63" s="200"/>
      <c r="K63" s="95"/>
      <c r="M63" s="108" t="str">
        <f>_xlfn.XLOOKUP(C:C,'[1]All Data'!$C:$C,'[1]All Data'!$H:$H)</f>
        <v>Per Quote</v>
      </c>
      <c r="N63" s="108"/>
      <c r="O63" s="108" t="e">
        <f t="shared" si="0"/>
        <v>#VALUE!</v>
      </c>
    </row>
    <row r="64" spans="1:15">
      <c r="A64" s="63"/>
      <c r="B64" s="63"/>
      <c r="C64" s="63"/>
      <c r="D64" s="63"/>
      <c r="E64" s="63"/>
      <c r="F64" s="63"/>
      <c r="G64" s="63"/>
      <c r="H64" s="63"/>
      <c r="I64" s="63"/>
      <c r="J64" s="63"/>
    </row>
  </sheetData>
  <autoFilter xmlns:etc="http://www.wps.cn/officeDocument/2017/etCustomData" ref="A1:J64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6900Worldwide Price List - February 2015&amp;RAs of 02/09/2015</oddHeader>
    <oddFooter>&amp;CAlcatel-Lucent - Enterprise Solutions Division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249977111117893"/>
  </sheetPr>
  <dimension ref="A1:O42"/>
  <sheetViews>
    <sheetView topLeftCell="B1" workbookViewId="0">
      <pane ySplit="1" topLeftCell="A3" activePane="bottomLeft" state="frozen"/>
      <selection/>
      <selection pane="bottomLeft" activeCell="D8" sqref="D8"/>
    </sheetView>
  </sheetViews>
  <sheetFormatPr defaultColWidth="9" defaultRowHeight="13.85"/>
  <cols>
    <col min="1" max="1" width="25" style="216" customWidth="1"/>
    <col min="2" max="2" width="25" style="184" customWidth="1"/>
    <col min="3" max="3" width="18.6637168141593" style="216" customWidth="1"/>
    <col min="4" max="4" width="72.1681415929203" style="191" customWidth="1"/>
    <col min="5" max="5" width="9.16814159292035" style="216" customWidth="1"/>
    <col min="6" max="6" width="10" style="246" customWidth="1"/>
    <col min="7" max="7" width="13.1681415929204" style="216" customWidth="1"/>
    <col min="8" max="8" width="12.6637168141593" style="215" customWidth="1"/>
    <col min="9" max="9" width="12" style="216" customWidth="1"/>
    <col min="10" max="10" width="11.1681415929204" style="216" customWidth="1"/>
    <col min="11" max="11" width="22" style="309" customWidth="1"/>
    <col min="12" max="12" width="12.8318584070796" style="63" customWidth="1"/>
    <col min="13" max="16384" width="9" style="63"/>
  </cols>
  <sheetData>
    <row r="1" spans="1:15">
      <c r="A1" s="70" t="s">
        <v>50</v>
      </c>
      <c r="B1" s="91" t="s">
        <v>51</v>
      </c>
      <c r="C1" s="70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  <c r="M1" s="309" t="s">
        <v>340</v>
      </c>
      <c r="N1" s="309"/>
      <c r="O1" s="309"/>
    </row>
    <row r="2" ht="75" customHeight="1" spans="1:15">
      <c r="A2" s="85" t="s">
        <v>474</v>
      </c>
      <c r="B2" s="316" t="s">
        <v>37</v>
      </c>
      <c r="C2" s="85" t="s">
        <v>475</v>
      </c>
      <c r="D2" s="257" t="s">
        <v>476</v>
      </c>
      <c r="E2" s="85" t="s">
        <v>284</v>
      </c>
      <c r="F2" s="74">
        <v>1</v>
      </c>
      <c r="G2" s="85" t="s">
        <v>69</v>
      </c>
      <c r="H2" s="72">
        <v>145883</v>
      </c>
      <c r="I2" s="114"/>
      <c r="J2" s="225"/>
      <c r="K2" s="276"/>
      <c r="M2" s="108">
        <f>_xlfn.XLOOKUP(C:C,'[1]All Data'!$C:$C,'[1]All Data'!$H:$H)</f>
        <v>145883</v>
      </c>
      <c r="N2" s="108"/>
      <c r="O2" s="108">
        <f>H2-M2</f>
        <v>0</v>
      </c>
    </row>
    <row r="3" ht="75" customHeight="1" spans="1:15">
      <c r="A3" s="85" t="s">
        <v>474</v>
      </c>
      <c r="B3" s="120" t="s">
        <v>37</v>
      </c>
      <c r="C3" s="85" t="s">
        <v>477</v>
      </c>
      <c r="D3" s="257" t="s">
        <v>478</v>
      </c>
      <c r="E3" s="85" t="s">
        <v>284</v>
      </c>
      <c r="F3" s="74">
        <v>1</v>
      </c>
      <c r="G3" s="85" t="s">
        <v>69</v>
      </c>
      <c r="H3" s="72">
        <v>157803</v>
      </c>
      <c r="I3" s="114"/>
      <c r="J3" s="225"/>
      <c r="K3" s="317"/>
      <c r="M3" s="108">
        <f>_xlfn.XLOOKUP(C:C,'[1]All Data'!$C:$C,'[1]All Data'!$H:$H)</f>
        <v>157803</v>
      </c>
      <c r="N3" s="108"/>
      <c r="O3" s="108">
        <f t="shared" ref="O3:O42" si="0">H3-M3</f>
        <v>0</v>
      </c>
    </row>
    <row r="4" ht="75" customHeight="1" spans="1:15">
      <c r="A4" s="85" t="s">
        <v>474</v>
      </c>
      <c r="B4" s="316" t="s">
        <v>37</v>
      </c>
      <c r="C4" s="85" t="s">
        <v>479</v>
      </c>
      <c r="D4" s="257" t="s">
        <v>480</v>
      </c>
      <c r="E4" s="85" t="s">
        <v>284</v>
      </c>
      <c r="F4" s="74">
        <v>1</v>
      </c>
      <c r="G4" s="85" t="s">
        <v>69</v>
      </c>
      <c r="H4" s="72">
        <v>215004</v>
      </c>
      <c r="I4" s="114"/>
      <c r="J4" s="225"/>
      <c r="K4" s="276"/>
      <c r="M4" s="108">
        <f>_xlfn.XLOOKUP(C:C,'[1]All Data'!$C:$C,'[1]All Data'!$H:$H)</f>
        <v>215004</v>
      </c>
      <c r="N4" s="108"/>
      <c r="O4" s="108">
        <f t="shared" si="0"/>
        <v>0</v>
      </c>
    </row>
    <row r="5" ht="75" customHeight="1" spans="1:15">
      <c r="A5" s="85" t="s">
        <v>474</v>
      </c>
      <c r="B5" s="316" t="s">
        <v>37</v>
      </c>
      <c r="C5" s="85" t="s">
        <v>481</v>
      </c>
      <c r="D5" s="257" t="s">
        <v>482</v>
      </c>
      <c r="E5" s="85" t="s">
        <v>284</v>
      </c>
      <c r="F5" s="74">
        <v>1</v>
      </c>
      <c r="G5" s="85" t="s">
        <v>69</v>
      </c>
      <c r="H5" s="72">
        <v>228269</v>
      </c>
      <c r="I5" s="114"/>
      <c r="J5" s="225"/>
      <c r="K5" s="159"/>
      <c r="M5" s="108">
        <f>_xlfn.XLOOKUP(C:C,'[1]All Data'!$C:$C,'[1]All Data'!$H:$H)</f>
        <v>228269</v>
      </c>
      <c r="N5" s="108"/>
      <c r="O5" s="108">
        <f t="shared" si="0"/>
        <v>0</v>
      </c>
    </row>
    <row r="6" ht="60" customHeight="1" spans="1:15">
      <c r="A6" s="85" t="s">
        <v>474</v>
      </c>
      <c r="B6" s="316" t="s">
        <v>37</v>
      </c>
      <c r="C6" s="85" t="s">
        <v>483</v>
      </c>
      <c r="D6" s="257" t="s">
        <v>484</v>
      </c>
      <c r="E6" s="85" t="s">
        <v>284</v>
      </c>
      <c r="F6" s="74">
        <v>1</v>
      </c>
      <c r="G6" s="85" t="s">
        <v>69</v>
      </c>
      <c r="H6" s="72">
        <v>270135</v>
      </c>
      <c r="I6" s="114"/>
      <c r="J6" s="225"/>
      <c r="K6" s="276"/>
      <c r="M6" s="108">
        <f>_xlfn.XLOOKUP(C:C,'[1]All Data'!$C:$C,'[1]All Data'!$H:$H)</f>
        <v>270135</v>
      </c>
      <c r="N6" s="108"/>
      <c r="O6" s="108">
        <f t="shared" si="0"/>
        <v>0</v>
      </c>
    </row>
    <row r="7" ht="60" customHeight="1" spans="1:15">
      <c r="A7" s="85" t="s">
        <v>474</v>
      </c>
      <c r="B7" s="316" t="s">
        <v>37</v>
      </c>
      <c r="C7" s="85" t="s">
        <v>485</v>
      </c>
      <c r="D7" s="257" t="s">
        <v>486</v>
      </c>
      <c r="E7" s="85" t="s">
        <v>284</v>
      </c>
      <c r="F7" s="74">
        <v>1</v>
      </c>
      <c r="G7" s="85" t="s">
        <v>69</v>
      </c>
      <c r="H7" s="72">
        <v>281313</v>
      </c>
      <c r="I7" s="114"/>
      <c r="J7" s="225"/>
      <c r="K7" s="159"/>
      <c r="M7" s="108">
        <f>_xlfn.XLOOKUP(C:C,'[1]All Data'!$C:$C,'[1]All Data'!$H:$H)</f>
        <v>281313</v>
      </c>
      <c r="N7" s="108"/>
      <c r="O7" s="108">
        <f t="shared" si="0"/>
        <v>0</v>
      </c>
    </row>
    <row r="8" ht="75" customHeight="1" spans="1:15">
      <c r="A8" s="85" t="s">
        <v>474</v>
      </c>
      <c r="B8" s="99" t="s">
        <v>36</v>
      </c>
      <c r="C8" s="85" t="s">
        <v>487</v>
      </c>
      <c r="D8" s="257" t="s">
        <v>488</v>
      </c>
      <c r="E8" s="85" t="s">
        <v>284</v>
      </c>
      <c r="F8" s="74">
        <v>1</v>
      </c>
      <c r="G8" s="85" t="s">
        <v>69</v>
      </c>
      <c r="H8" s="72">
        <v>361422</v>
      </c>
      <c r="I8" s="114"/>
      <c r="J8" s="225"/>
      <c r="K8" s="223" t="s">
        <v>489</v>
      </c>
      <c r="M8" s="108">
        <f>_xlfn.XLOOKUP(C:C,'[1]All Data'!$C:$C,'[1]All Data'!$H:$H)</f>
        <v>361422</v>
      </c>
      <c r="N8" s="108"/>
      <c r="O8" s="108">
        <f t="shared" si="0"/>
        <v>0</v>
      </c>
    </row>
    <row r="9" ht="75" customHeight="1" spans="1:15">
      <c r="A9" s="85" t="s">
        <v>474</v>
      </c>
      <c r="B9" s="72" t="s">
        <v>36</v>
      </c>
      <c r="C9" s="85" t="s">
        <v>490</v>
      </c>
      <c r="D9" s="257" t="s">
        <v>491</v>
      </c>
      <c r="E9" s="85" t="s">
        <v>284</v>
      </c>
      <c r="F9" s="74">
        <v>1</v>
      </c>
      <c r="G9" s="85" t="s">
        <v>69</v>
      </c>
      <c r="H9" s="72">
        <v>333477</v>
      </c>
      <c r="I9" s="114"/>
      <c r="J9" s="225"/>
      <c r="K9" s="223" t="s">
        <v>489</v>
      </c>
      <c r="M9" s="108">
        <f>_xlfn.XLOOKUP(C:C,'[1]All Data'!$C:$C,'[1]All Data'!$H:$H)</f>
        <v>333477</v>
      </c>
      <c r="N9" s="108"/>
      <c r="O9" s="108">
        <f t="shared" si="0"/>
        <v>0</v>
      </c>
    </row>
    <row r="10" ht="75" customHeight="1" spans="1:15">
      <c r="A10" s="85" t="s">
        <v>474</v>
      </c>
      <c r="B10" s="72" t="s">
        <v>36</v>
      </c>
      <c r="C10" s="85" t="s">
        <v>492</v>
      </c>
      <c r="D10" s="257" t="s">
        <v>493</v>
      </c>
      <c r="E10" s="85" t="s">
        <v>284</v>
      </c>
      <c r="F10" s="74">
        <v>1</v>
      </c>
      <c r="G10" s="85" t="s">
        <v>69</v>
      </c>
      <c r="H10" s="72">
        <v>326025</v>
      </c>
      <c r="I10" s="114"/>
      <c r="J10" s="225"/>
      <c r="K10" s="223" t="s">
        <v>489</v>
      </c>
      <c r="M10" s="108">
        <f>_xlfn.XLOOKUP(C:C,'[1]All Data'!$C:$C,'[1]All Data'!$H:$H)</f>
        <v>326025</v>
      </c>
      <c r="N10" s="108"/>
      <c r="O10" s="108">
        <f t="shared" si="0"/>
        <v>0</v>
      </c>
    </row>
    <row r="11" ht="75" customHeight="1" spans="1:15">
      <c r="A11" s="85" t="s">
        <v>474</v>
      </c>
      <c r="B11" s="72" t="s">
        <v>36</v>
      </c>
      <c r="C11" s="85" t="s">
        <v>494</v>
      </c>
      <c r="D11" s="257" t="s">
        <v>495</v>
      </c>
      <c r="E11" s="85" t="s">
        <v>284</v>
      </c>
      <c r="F11" s="74">
        <v>1</v>
      </c>
      <c r="G11" s="85" t="s">
        <v>69</v>
      </c>
      <c r="H11" s="72">
        <v>344655</v>
      </c>
      <c r="I11" s="114"/>
      <c r="J11" s="225"/>
      <c r="K11" s="223" t="s">
        <v>489</v>
      </c>
      <c r="M11" s="108">
        <f>_xlfn.XLOOKUP(C:C,'[1]All Data'!$C:$C,'[1]All Data'!$H:$H)</f>
        <v>344655</v>
      </c>
      <c r="N11" s="108"/>
      <c r="O11" s="108">
        <f t="shared" si="0"/>
        <v>0</v>
      </c>
    </row>
    <row r="12" ht="75" customHeight="1" spans="1:15">
      <c r="A12" s="85" t="s">
        <v>474</v>
      </c>
      <c r="B12" s="72" t="s">
        <v>36</v>
      </c>
      <c r="C12" s="85" t="s">
        <v>496</v>
      </c>
      <c r="D12" s="257" t="s">
        <v>497</v>
      </c>
      <c r="E12" s="85" t="s">
        <v>284</v>
      </c>
      <c r="F12" s="74">
        <v>1</v>
      </c>
      <c r="G12" s="85" t="s">
        <v>69</v>
      </c>
      <c r="H12" s="72">
        <v>316710</v>
      </c>
      <c r="I12" s="114"/>
      <c r="J12" s="225"/>
      <c r="K12" s="223" t="s">
        <v>489</v>
      </c>
      <c r="M12" s="108">
        <f>_xlfn.XLOOKUP(C:C,'[1]All Data'!$C:$C,'[1]All Data'!$H:$H)</f>
        <v>316710</v>
      </c>
      <c r="N12" s="108"/>
      <c r="O12" s="108">
        <f t="shared" si="0"/>
        <v>0</v>
      </c>
    </row>
    <row r="13" ht="75" customHeight="1" spans="1:15">
      <c r="A13" s="85" t="s">
        <v>474</v>
      </c>
      <c r="B13" s="72" t="s">
        <v>36</v>
      </c>
      <c r="C13" s="85" t="s">
        <v>498</v>
      </c>
      <c r="D13" s="257" t="s">
        <v>499</v>
      </c>
      <c r="E13" s="85" t="s">
        <v>284</v>
      </c>
      <c r="F13" s="74">
        <v>1</v>
      </c>
      <c r="G13" s="85" t="s">
        <v>69</v>
      </c>
      <c r="H13" s="72">
        <v>309258</v>
      </c>
      <c r="I13" s="114"/>
      <c r="J13" s="225"/>
      <c r="K13" s="223" t="s">
        <v>489</v>
      </c>
      <c r="M13" s="108">
        <f>_xlfn.XLOOKUP(C:C,'[1]All Data'!$C:$C,'[1]All Data'!$H:$H)</f>
        <v>309258</v>
      </c>
      <c r="N13" s="108"/>
      <c r="O13" s="108">
        <f t="shared" si="0"/>
        <v>0</v>
      </c>
    </row>
    <row r="14" ht="75" customHeight="1" spans="1:15">
      <c r="A14" s="85" t="s">
        <v>474</v>
      </c>
      <c r="B14" s="72" t="s">
        <v>36</v>
      </c>
      <c r="C14" s="85" t="s">
        <v>500</v>
      </c>
      <c r="D14" s="257" t="s">
        <v>501</v>
      </c>
      <c r="E14" s="85" t="s">
        <v>284</v>
      </c>
      <c r="F14" s="74">
        <v>1</v>
      </c>
      <c r="G14" s="85" t="s">
        <v>69</v>
      </c>
      <c r="H14" s="72">
        <v>307395</v>
      </c>
      <c r="I14" s="114"/>
      <c r="J14" s="225"/>
      <c r="K14" s="223" t="s">
        <v>489</v>
      </c>
      <c r="M14" s="108">
        <f>_xlfn.XLOOKUP(C:C,'[1]All Data'!$C:$C,'[1]All Data'!$H:$H)</f>
        <v>307395</v>
      </c>
      <c r="N14" s="108"/>
      <c r="O14" s="108">
        <f t="shared" si="0"/>
        <v>0</v>
      </c>
    </row>
    <row r="15" ht="75" customHeight="1" spans="1:15">
      <c r="A15" s="85" t="s">
        <v>474</v>
      </c>
      <c r="B15" s="72" t="s">
        <v>36</v>
      </c>
      <c r="C15" s="85" t="s">
        <v>502</v>
      </c>
      <c r="D15" s="257" t="s">
        <v>503</v>
      </c>
      <c r="E15" s="85" t="s">
        <v>284</v>
      </c>
      <c r="F15" s="74">
        <v>1</v>
      </c>
      <c r="G15" s="85" t="s">
        <v>69</v>
      </c>
      <c r="H15" s="72">
        <v>286902</v>
      </c>
      <c r="I15" s="114"/>
      <c r="J15" s="225"/>
      <c r="K15" s="223" t="s">
        <v>489</v>
      </c>
      <c r="M15" s="108">
        <f>_xlfn.XLOOKUP(C:C,'[1]All Data'!$C:$C,'[1]All Data'!$H:$H)</f>
        <v>286902</v>
      </c>
      <c r="N15" s="108"/>
      <c r="O15" s="108">
        <f t="shared" si="0"/>
        <v>0</v>
      </c>
    </row>
    <row r="16" ht="75" customHeight="1" spans="1:15">
      <c r="A16" s="85" t="s">
        <v>474</v>
      </c>
      <c r="B16" s="72" t="s">
        <v>36</v>
      </c>
      <c r="C16" s="85" t="s">
        <v>504</v>
      </c>
      <c r="D16" s="257" t="s">
        <v>505</v>
      </c>
      <c r="E16" s="85" t="s">
        <v>284</v>
      </c>
      <c r="F16" s="74">
        <v>1</v>
      </c>
      <c r="G16" s="85" t="s">
        <v>69</v>
      </c>
      <c r="H16" s="72">
        <v>262511</v>
      </c>
      <c r="I16" s="114"/>
      <c r="J16" s="225"/>
      <c r="K16" s="223" t="s">
        <v>489</v>
      </c>
      <c r="M16" s="108">
        <f>_xlfn.XLOOKUP(C:C,'[1]All Data'!$C:$C,'[1]All Data'!$H:$H)</f>
        <v>262511</v>
      </c>
      <c r="N16" s="108"/>
      <c r="O16" s="108">
        <f t="shared" si="0"/>
        <v>0</v>
      </c>
    </row>
    <row r="17" ht="75" customHeight="1" spans="1:15">
      <c r="A17" s="85" t="s">
        <v>474</v>
      </c>
      <c r="B17" s="72" t="s">
        <v>36</v>
      </c>
      <c r="C17" s="85" t="s">
        <v>506</v>
      </c>
      <c r="D17" s="257" t="s">
        <v>507</v>
      </c>
      <c r="E17" s="85" t="s">
        <v>284</v>
      </c>
      <c r="F17" s="74">
        <v>1</v>
      </c>
      <c r="G17" s="85" t="s">
        <v>69</v>
      </c>
      <c r="H17" s="72">
        <v>242018</v>
      </c>
      <c r="I17" s="114"/>
      <c r="J17" s="225"/>
      <c r="K17" s="223" t="s">
        <v>489</v>
      </c>
      <c r="M17" s="108">
        <f>_xlfn.XLOOKUP(C:C,'[1]All Data'!$C:$C,'[1]All Data'!$H:$H)</f>
        <v>242018</v>
      </c>
      <c r="N17" s="108"/>
      <c r="O17" s="108">
        <f t="shared" si="0"/>
        <v>0</v>
      </c>
    </row>
    <row r="18" ht="30" customHeight="1" spans="1:15">
      <c r="A18" s="85" t="s">
        <v>508</v>
      </c>
      <c r="B18" s="316" t="s">
        <v>25</v>
      </c>
      <c r="C18" s="85" t="s">
        <v>509</v>
      </c>
      <c r="D18" s="257" t="s">
        <v>510</v>
      </c>
      <c r="E18" s="85" t="s">
        <v>284</v>
      </c>
      <c r="F18" s="74">
        <v>1</v>
      </c>
      <c r="G18" s="85" t="s">
        <v>69</v>
      </c>
      <c r="H18" s="72">
        <v>21994</v>
      </c>
      <c r="I18" s="114"/>
      <c r="J18" s="225"/>
      <c r="K18" s="318"/>
      <c r="M18" s="108">
        <f>_xlfn.XLOOKUP(C:C,'[1]All Data'!$C:$C,'[1]All Data'!$H:$H)</f>
        <v>21994</v>
      </c>
      <c r="N18" s="108"/>
      <c r="O18" s="108">
        <f t="shared" si="0"/>
        <v>0</v>
      </c>
    </row>
    <row r="19" ht="30" customHeight="1" spans="1:15">
      <c r="A19" s="85" t="s">
        <v>508</v>
      </c>
      <c r="B19" s="316" t="s">
        <v>25</v>
      </c>
      <c r="C19" s="85" t="s">
        <v>511</v>
      </c>
      <c r="D19" s="257" t="s">
        <v>512</v>
      </c>
      <c r="E19" s="85" t="s">
        <v>284</v>
      </c>
      <c r="F19" s="74">
        <v>1</v>
      </c>
      <c r="G19" s="85" t="s">
        <v>69</v>
      </c>
      <c r="H19" s="72">
        <v>36708</v>
      </c>
      <c r="I19" s="114"/>
      <c r="J19" s="225"/>
      <c r="K19" s="318"/>
      <c r="M19" s="108">
        <f>_xlfn.XLOOKUP(C:C,'[1]All Data'!$C:$C,'[1]All Data'!$H:$H)</f>
        <v>36708</v>
      </c>
      <c r="N19" s="108"/>
      <c r="O19" s="108">
        <f t="shared" si="0"/>
        <v>0</v>
      </c>
    </row>
    <row r="20" ht="30" customHeight="1" spans="1:15">
      <c r="A20" s="85" t="s">
        <v>508</v>
      </c>
      <c r="B20" s="316" t="s">
        <v>25</v>
      </c>
      <c r="C20" s="85" t="s">
        <v>513</v>
      </c>
      <c r="D20" s="257" t="s">
        <v>514</v>
      </c>
      <c r="E20" s="85" t="s">
        <v>284</v>
      </c>
      <c r="F20" s="74">
        <v>1</v>
      </c>
      <c r="G20" s="85" t="s">
        <v>69</v>
      </c>
      <c r="H20" s="72">
        <v>12110</v>
      </c>
      <c r="I20" s="114"/>
      <c r="J20" s="225"/>
      <c r="K20" s="318"/>
      <c r="M20" s="108">
        <f>_xlfn.XLOOKUP(C:C,'[1]All Data'!$C:$C,'[1]All Data'!$H:$H)</f>
        <v>12110</v>
      </c>
      <c r="N20" s="108"/>
      <c r="O20" s="108">
        <f t="shared" si="0"/>
        <v>0</v>
      </c>
    </row>
    <row r="21" ht="30" customHeight="1" spans="1:15">
      <c r="A21" s="85" t="s">
        <v>508</v>
      </c>
      <c r="B21" s="316" t="s">
        <v>25</v>
      </c>
      <c r="C21" s="85" t="s">
        <v>515</v>
      </c>
      <c r="D21" s="257" t="s">
        <v>516</v>
      </c>
      <c r="E21" s="85" t="s">
        <v>284</v>
      </c>
      <c r="F21" s="74">
        <v>1</v>
      </c>
      <c r="G21" s="85" t="s">
        <v>69</v>
      </c>
      <c r="H21" s="72">
        <v>16215</v>
      </c>
      <c r="I21" s="114"/>
      <c r="J21" s="225"/>
      <c r="K21" s="318"/>
      <c r="M21" s="108">
        <f>_xlfn.XLOOKUP(C:C,'[1]All Data'!$C:$C,'[1]All Data'!$H:$H)</f>
        <v>16215</v>
      </c>
      <c r="N21" s="108"/>
      <c r="O21" s="108">
        <f t="shared" si="0"/>
        <v>0</v>
      </c>
    </row>
    <row r="22" ht="30" customHeight="1" spans="1:15">
      <c r="A22" s="85" t="s">
        <v>508</v>
      </c>
      <c r="B22" s="316" t="s">
        <v>25</v>
      </c>
      <c r="C22" s="85" t="s">
        <v>517</v>
      </c>
      <c r="D22" s="257" t="s">
        <v>518</v>
      </c>
      <c r="E22" s="85" t="s">
        <v>284</v>
      </c>
      <c r="F22" s="74">
        <v>1</v>
      </c>
      <c r="G22" s="85" t="s">
        <v>69</v>
      </c>
      <c r="H22" s="72">
        <v>20321</v>
      </c>
      <c r="I22" s="114"/>
      <c r="J22" s="225"/>
      <c r="K22" s="318"/>
      <c r="M22" s="108">
        <f>_xlfn.XLOOKUP(C:C,'[1]All Data'!$C:$C,'[1]All Data'!$H:$H)</f>
        <v>20321</v>
      </c>
      <c r="N22" s="108"/>
      <c r="O22" s="108">
        <f t="shared" si="0"/>
        <v>0</v>
      </c>
    </row>
    <row r="23" ht="30" customHeight="1" spans="1:15">
      <c r="A23" s="85" t="s">
        <v>508</v>
      </c>
      <c r="B23" s="316" t="s">
        <v>25</v>
      </c>
      <c r="C23" s="85" t="s">
        <v>519</v>
      </c>
      <c r="D23" s="257" t="s">
        <v>520</v>
      </c>
      <c r="E23" s="85" t="s">
        <v>284</v>
      </c>
      <c r="F23" s="74">
        <v>1</v>
      </c>
      <c r="G23" s="85" t="s">
        <v>69</v>
      </c>
      <c r="H23" s="72">
        <v>51509</v>
      </c>
      <c r="I23" s="114"/>
      <c r="J23" s="225"/>
      <c r="K23" s="318"/>
      <c r="M23" s="108">
        <f>_xlfn.XLOOKUP(C:C,'[1]All Data'!$C:$C,'[1]All Data'!$H:$H)</f>
        <v>51509</v>
      </c>
      <c r="N23" s="108"/>
      <c r="O23" s="108">
        <f t="shared" si="0"/>
        <v>0</v>
      </c>
    </row>
    <row r="24" ht="45" customHeight="1" spans="1:15">
      <c r="A24" s="85" t="s">
        <v>521</v>
      </c>
      <c r="B24" s="316" t="s">
        <v>40</v>
      </c>
      <c r="C24" s="85" t="s">
        <v>522</v>
      </c>
      <c r="D24" s="257" t="s">
        <v>523</v>
      </c>
      <c r="E24" s="85" t="s">
        <v>284</v>
      </c>
      <c r="F24" s="74">
        <v>1</v>
      </c>
      <c r="G24" s="85" t="s">
        <v>69</v>
      </c>
      <c r="H24" s="72">
        <v>33362</v>
      </c>
      <c r="I24" s="114"/>
      <c r="J24" s="225"/>
      <c r="K24" s="318"/>
      <c r="M24" s="108">
        <f>_xlfn.XLOOKUP(C:C,'[1]All Data'!$C:$C,'[1]All Data'!$H:$H)</f>
        <v>33362</v>
      </c>
      <c r="N24" s="108"/>
      <c r="O24" s="108">
        <f t="shared" si="0"/>
        <v>0</v>
      </c>
    </row>
    <row r="25" ht="30" customHeight="1" spans="1:15">
      <c r="A25" s="85" t="s">
        <v>521</v>
      </c>
      <c r="B25" s="316" t="s">
        <v>40</v>
      </c>
      <c r="C25" s="85" t="s">
        <v>524</v>
      </c>
      <c r="D25" s="257" t="s">
        <v>525</v>
      </c>
      <c r="E25" s="85" t="s">
        <v>284</v>
      </c>
      <c r="F25" s="74">
        <v>1</v>
      </c>
      <c r="G25" s="85" t="s">
        <v>69</v>
      </c>
      <c r="H25" s="72">
        <v>37088</v>
      </c>
      <c r="I25" s="114"/>
      <c r="J25" s="225"/>
      <c r="K25" s="318"/>
      <c r="M25" s="108">
        <f>_xlfn.XLOOKUP(C:C,'[1]All Data'!$C:$C,'[1]All Data'!$H:$H)</f>
        <v>37088</v>
      </c>
      <c r="N25" s="108"/>
      <c r="O25" s="108">
        <f t="shared" si="0"/>
        <v>0</v>
      </c>
    </row>
    <row r="26" ht="15" customHeight="1" spans="1:15">
      <c r="A26" s="85" t="s">
        <v>521</v>
      </c>
      <c r="B26" s="316" t="s">
        <v>44</v>
      </c>
      <c r="C26" s="85" t="s">
        <v>526</v>
      </c>
      <c r="D26" s="319" t="s">
        <v>527</v>
      </c>
      <c r="E26" s="85" t="s">
        <v>284</v>
      </c>
      <c r="F26" s="74">
        <v>6</v>
      </c>
      <c r="G26" s="85" t="s">
        <v>69</v>
      </c>
      <c r="H26" s="72">
        <v>24219</v>
      </c>
      <c r="I26" s="114"/>
      <c r="J26" s="225"/>
      <c r="K26" s="318"/>
      <c r="M26" s="108">
        <f>_xlfn.XLOOKUP(C:C,'[1]All Data'!$C:$C,'[1]All Data'!$H:$H)</f>
        <v>24219</v>
      </c>
      <c r="N26" s="108"/>
      <c r="O26" s="108">
        <f t="shared" si="0"/>
        <v>0</v>
      </c>
    </row>
    <row r="27" ht="15" customHeight="1" spans="1:15">
      <c r="A27" s="85" t="s">
        <v>521</v>
      </c>
      <c r="B27" s="316" t="s">
        <v>435</v>
      </c>
      <c r="C27" s="85" t="s">
        <v>528</v>
      </c>
      <c r="D27" s="319" t="s">
        <v>529</v>
      </c>
      <c r="E27" s="85" t="s">
        <v>284</v>
      </c>
      <c r="F27" s="74">
        <v>1</v>
      </c>
      <c r="G27" s="85" t="s">
        <v>69</v>
      </c>
      <c r="H27" s="72">
        <v>1501</v>
      </c>
      <c r="I27" s="114"/>
      <c r="J27" s="225"/>
      <c r="K27" s="318"/>
      <c r="M27" s="108">
        <f>_xlfn.XLOOKUP(C:C,'[1]All Data'!$C:$C,'[1]All Data'!$H:$H)</f>
        <v>1501</v>
      </c>
      <c r="N27" s="108"/>
      <c r="O27" s="108">
        <f t="shared" si="0"/>
        <v>0</v>
      </c>
    </row>
    <row r="28" ht="30" customHeight="1" spans="1:15">
      <c r="A28" s="85" t="s">
        <v>521</v>
      </c>
      <c r="B28" s="316" t="s">
        <v>44</v>
      </c>
      <c r="C28" s="85" t="s">
        <v>126</v>
      </c>
      <c r="D28" s="319" t="s">
        <v>530</v>
      </c>
      <c r="E28" s="85" t="s">
        <v>284</v>
      </c>
      <c r="F28" s="74">
        <v>6</v>
      </c>
      <c r="G28" s="85" t="s">
        <v>69</v>
      </c>
      <c r="H28" s="72">
        <v>0</v>
      </c>
      <c r="I28" s="114"/>
      <c r="J28" s="225"/>
      <c r="K28" s="114"/>
      <c r="M28" s="108">
        <f>_xlfn.XLOOKUP(C:C,'[1]All Data'!$C:$C,'[1]All Data'!$H:$H)</f>
        <v>0</v>
      </c>
      <c r="N28" s="108"/>
      <c r="O28" s="108">
        <f t="shared" si="0"/>
        <v>0</v>
      </c>
    </row>
    <row r="29" ht="45" customHeight="1" spans="1:15">
      <c r="A29" s="85" t="s">
        <v>521</v>
      </c>
      <c r="B29" s="316" t="s">
        <v>44</v>
      </c>
      <c r="C29" s="85" t="s">
        <v>531</v>
      </c>
      <c r="D29" s="257" t="s">
        <v>532</v>
      </c>
      <c r="E29" s="85" t="s">
        <v>284</v>
      </c>
      <c r="F29" s="74">
        <v>6</v>
      </c>
      <c r="G29" s="85" t="s">
        <v>69</v>
      </c>
      <c r="H29" s="72">
        <v>47507</v>
      </c>
      <c r="I29" s="114"/>
      <c r="J29" s="206"/>
      <c r="K29" s="114"/>
      <c r="M29" s="108">
        <f>_xlfn.XLOOKUP(C:C,'[1]All Data'!$C:$C,'[1]All Data'!$H:$H)</f>
        <v>47507</v>
      </c>
      <c r="N29" s="108"/>
      <c r="O29" s="108">
        <f t="shared" si="0"/>
        <v>0</v>
      </c>
    </row>
    <row r="30" ht="30" customHeight="1" spans="1:15">
      <c r="A30" s="85" t="s">
        <v>521</v>
      </c>
      <c r="B30" s="316" t="s">
        <v>44</v>
      </c>
      <c r="C30" s="85" t="s">
        <v>533</v>
      </c>
      <c r="D30" s="257" t="s">
        <v>534</v>
      </c>
      <c r="E30" s="85" t="s">
        <v>284</v>
      </c>
      <c r="F30" s="74">
        <v>6</v>
      </c>
      <c r="G30" s="85" t="s">
        <v>69</v>
      </c>
      <c r="H30" s="72">
        <v>32603</v>
      </c>
      <c r="I30" s="114"/>
      <c r="J30" s="206"/>
      <c r="K30" s="114"/>
      <c r="M30" s="108">
        <f>_xlfn.XLOOKUP(C:C,'[1]All Data'!$C:$C,'[1]All Data'!$H:$H)</f>
        <v>32603</v>
      </c>
      <c r="N30" s="108"/>
      <c r="O30" s="108">
        <f t="shared" si="0"/>
        <v>0</v>
      </c>
    </row>
    <row r="31" ht="30" customHeight="1" spans="1:15">
      <c r="A31" s="85" t="s">
        <v>535</v>
      </c>
      <c r="B31" s="316" t="s">
        <v>49</v>
      </c>
      <c r="C31" s="85" t="s">
        <v>536</v>
      </c>
      <c r="D31" s="319" t="s">
        <v>537</v>
      </c>
      <c r="E31" s="85" t="s">
        <v>132</v>
      </c>
      <c r="F31" s="74">
        <v>1</v>
      </c>
      <c r="G31" s="85" t="s">
        <v>65</v>
      </c>
      <c r="H31" s="72">
        <v>354</v>
      </c>
      <c r="I31" s="114"/>
      <c r="J31" s="225"/>
      <c r="K31" s="318"/>
      <c r="M31" s="108">
        <f>_xlfn.XLOOKUP(C:C,'[1]All Data'!$C:$C,'[1]All Data'!$H:$H)</f>
        <v>354</v>
      </c>
      <c r="N31" s="108"/>
      <c r="O31" s="108">
        <f t="shared" si="0"/>
        <v>0</v>
      </c>
    </row>
    <row r="32" ht="30" customHeight="1" spans="1:15">
      <c r="A32" s="320" t="s">
        <v>538</v>
      </c>
      <c r="B32" s="321" t="s">
        <v>49</v>
      </c>
      <c r="C32" s="85" t="s">
        <v>539</v>
      </c>
      <c r="D32" s="322" t="s">
        <v>540</v>
      </c>
      <c r="E32" s="320" t="s">
        <v>132</v>
      </c>
      <c r="F32" s="74">
        <v>0</v>
      </c>
      <c r="G32" s="320" t="s">
        <v>65</v>
      </c>
      <c r="H32" s="323">
        <v>4242</v>
      </c>
      <c r="I32" s="324"/>
      <c r="J32" s="325"/>
      <c r="K32" s="326"/>
      <c r="M32" s="108">
        <f>_xlfn.XLOOKUP(C:C,'[1]All Data'!$C:$C,'[1]All Data'!$H:$H)</f>
        <v>4242</v>
      </c>
      <c r="N32" s="108"/>
      <c r="O32" s="108">
        <f t="shared" si="0"/>
        <v>0</v>
      </c>
    </row>
    <row r="33" ht="30" customHeight="1" spans="1:15">
      <c r="A33" s="85" t="s">
        <v>538</v>
      </c>
      <c r="B33" s="316" t="s">
        <v>49</v>
      </c>
      <c r="C33" s="85" t="s">
        <v>541</v>
      </c>
      <c r="D33" s="73" t="s">
        <v>542</v>
      </c>
      <c r="E33" s="85" t="s">
        <v>132</v>
      </c>
      <c r="F33" s="74">
        <v>0</v>
      </c>
      <c r="G33" s="85" t="s">
        <v>65</v>
      </c>
      <c r="H33" s="72">
        <v>7980</v>
      </c>
      <c r="I33" s="114"/>
      <c r="J33" s="225"/>
      <c r="K33" s="318"/>
      <c r="M33" s="108">
        <f>_xlfn.XLOOKUP(C:C,'[1]All Data'!$C:$C,'[1]All Data'!$H:$H)</f>
        <v>7980</v>
      </c>
      <c r="N33" s="108"/>
      <c r="O33" s="108">
        <f t="shared" si="0"/>
        <v>0</v>
      </c>
    </row>
    <row r="34" ht="30" customHeight="1" spans="1:15">
      <c r="A34" s="85" t="s">
        <v>538</v>
      </c>
      <c r="B34" s="316" t="s">
        <v>49</v>
      </c>
      <c r="C34" s="85" t="s">
        <v>543</v>
      </c>
      <c r="D34" s="73" t="s">
        <v>544</v>
      </c>
      <c r="E34" s="85" t="s">
        <v>132</v>
      </c>
      <c r="F34" s="74">
        <v>0</v>
      </c>
      <c r="G34" s="85" t="s">
        <v>65</v>
      </c>
      <c r="H34" s="72">
        <v>11592</v>
      </c>
      <c r="I34" s="114"/>
      <c r="J34" s="225"/>
      <c r="K34" s="318"/>
      <c r="M34" s="108">
        <f>_xlfn.XLOOKUP(C:C,'[1]All Data'!$C:$C,'[1]All Data'!$H:$H)</f>
        <v>11592</v>
      </c>
      <c r="N34" s="108"/>
      <c r="O34" s="108">
        <f t="shared" si="0"/>
        <v>0</v>
      </c>
    </row>
    <row r="35" ht="30" customHeight="1" spans="1:15">
      <c r="A35" s="85" t="s">
        <v>538</v>
      </c>
      <c r="B35" s="316" t="s">
        <v>49</v>
      </c>
      <c r="C35" s="85" t="s">
        <v>545</v>
      </c>
      <c r="D35" s="73" t="s">
        <v>546</v>
      </c>
      <c r="E35" s="85" t="s">
        <v>132</v>
      </c>
      <c r="F35" s="74">
        <v>0</v>
      </c>
      <c r="G35" s="85" t="s">
        <v>65</v>
      </c>
      <c r="H35" s="72">
        <v>18032</v>
      </c>
      <c r="I35" s="114"/>
      <c r="J35" s="225"/>
      <c r="K35" s="318"/>
      <c r="M35" s="108">
        <f>_xlfn.XLOOKUP(C:C,'[1]All Data'!$C:$C,'[1]All Data'!$H:$H)</f>
        <v>18032</v>
      </c>
      <c r="N35" s="108"/>
      <c r="O35" s="108">
        <f t="shared" si="0"/>
        <v>0</v>
      </c>
    </row>
    <row r="36" ht="30" customHeight="1" spans="1:15">
      <c r="A36" s="327" t="s">
        <v>535</v>
      </c>
      <c r="B36" s="316" t="s">
        <v>49</v>
      </c>
      <c r="C36" s="172" t="s">
        <v>547</v>
      </c>
      <c r="D36" s="284" t="s">
        <v>548</v>
      </c>
      <c r="E36" s="172" t="s">
        <v>132</v>
      </c>
      <c r="F36" s="74">
        <v>2</v>
      </c>
      <c r="G36" s="172" t="s">
        <v>69</v>
      </c>
      <c r="H36" s="172" t="s">
        <v>143</v>
      </c>
      <c r="I36" s="159"/>
      <c r="J36" s="159"/>
      <c r="K36" s="159"/>
      <c r="M36" s="108" t="str">
        <f>_xlfn.XLOOKUP(C:C,'[1]All Data'!$C:$C,'[1]All Data'!$H:$H)</f>
        <v>Per Quote</v>
      </c>
      <c r="N36" s="108"/>
      <c r="O36" s="108" t="e">
        <f t="shared" si="0"/>
        <v>#VALUE!</v>
      </c>
    </row>
    <row r="37" ht="30" customHeight="1" spans="1:15">
      <c r="A37" s="328" t="s">
        <v>535</v>
      </c>
      <c r="B37" s="329" t="s">
        <v>49</v>
      </c>
      <c r="C37" s="330" t="s">
        <v>549</v>
      </c>
      <c r="D37" s="331" t="s">
        <v>550</v>
      </c>
      <c r="E37" s="328" t="s">
        <v>132</v>
      </c>
      <c r="F37" s="74">
        <v>2</v>
      </c>
      <c r="G37" s="330" t="s">
        <v>69</v>
      </c>
      <c r="H37" s="330" t="s">
        <v>143</v>
      </c>
      <c r="I37" s="332"/>
      <c r="J37" s="333"/>
      <c r="K37" s="334"/>
      <c r="M37" s="108" t="str">
        <f>_xlfn.XLOOKUP(C:C,'[1]All Data'!$C:$C,'[1]All Data'!$H:$H)</f>
        <v>Per Quote</v>
      </c>
      <c r="N37" s="108"/>
      <c r="O37" s="108" t="e">
        <f t="shared" si="0"/>
        <v>#VALUE!</v>
      </c>
    </row>
    <row r="38" ht="30" customHeight="1" spans="1:15">
      <c r="A38" s="85" t="s">
        <v>535</v>
      </c>
      <c r="B38" s="316" t="s">
        <v>49</v>
      </c>
      <c r="C38" s="85" t="s">
        <v>551</v>
      </c>
      <c r="D38" s="73" t="s">
        <v>552</v>
      </c>
      <c r="E38" s="85" t="s">
        <v>132</v>
      </c>
      <c r="F38" s="74">
        <v>1</v>
      </c>
      <c r="G38" s="85" t="s">
        <v>65</v>
      </c>
      <c r="H38" s="72">
        <v>515</v>
      </c>
      <c r="I38" s="114"/>
      <c r="J38" s="225"/>
      <c r="K38" s="318"/>
      <c r="M38" s="108">
        <f>_xlfn.XLOOKUP(C:C,'[1]All Data'!$C:$C,'[1]All Data'!$H:$H)</f>
        <v>515</v>
      </c>
      <c r="N38" s="108"/>
      <c r="O38" s="108">
        <f t="shared" si="0"/>
        <v>0</v>
      </c>
    </row>
    <row r="39" ht="30" customHeight="1" spans="1:15">
      <c r="A39" s="85" t="s">
        <v>538</v>
      </c>
      <c r="B39" s="316" t="s">
        <v>49</v>
      </c>
      <c r="C39" s="85" t="s">
        <v>553</v>
      </c>
      <c r="D39" s="73" t="s">
        <v>554</v>
      </c>
      <c r="E39" s="85" t="s">
        <v>132</v>
      </c>
      <c r="F39" s="74">
        <v>0</v>
      </c>
      <c r="G39" s="85" t="s">
        <v>65</v>
      </c>
      <c r="H39" s="72">
        <v>6174</v>
      </c>
      <c r="I39" s="114"/>
      <c r="J39" s="225"/>
      <c r="K39" s="318"/>
      <c r="M39" s="108">
        <f>_xlfn.XLOOKUP(C:C,'[1]All Data'!$C:$C,'[1]All Data'!$H:$H)</f>
        <v>6174</v>
      </c>
      <c r="N39" s="108"/>
      <c r="O39" s="108">
        <f t="shared" si="0"/>
        <v>0</v>
      </c>
    </row>
    <row r="40" ht="30" customHeight="1" spans="1:15">
      <c r="A40" s="85" t="s">
        <v>538</v>
      </c>
      <c r="B40" s="316" t="s">
        <v>49</v>
      </c>
      <c r="C40" s="85" t="s">
        <v>555</v>
      </c>
      <c r="D40" s="73" t="s">
        <v>556</v>
      </c>
      <c r="E40" s="85" t="s">
        <v>132</v>
      </c>
      <c r="F40" s="74">
        <v>0</v>
      </c>
      <c r="G40" s="85" t="s">
        <v>65</v>
      </c>
      <c r="H40" s="72">
        <v>11606</v>
      </c>
      <c r="I40" s="114"/>
      <c r="J40" s="225"/>
      <c r="K40" s="318"/>
      <c r="M40" s="108">
        <f>_xlfn.XLOOKUP(C:C,'[1]All Data'!$C:$C,'[1]All Data'!$H:$H)</f>
        <v>11606</v>
      </c>
      <c r="N40" s="108"/>
      <c r="O40" s="108">
        <f t="shared" si="0"/>
        <v>0</v>
      </c>
    </row>
    <row r="41" ht="30" customHeight="1" spans="1:15">
      <c r="A41" s="85" t="s">
        <v>538</v>
      </c>
      <c r="B41" s="316" t="s">
        <v>49</v>
      </c>
      <c r="C41" s="85" t="s">
        <v>557</v>
      </c>
      <c r="D41" s="76" t="s">
        <v>558</v>
      </c>
      <c r="E41" s="85" t="s">
        <v>132</v>
      </c>
      <c r="F41" s="74">
        <v>0</v>
      </c>
      <c r="G41" s="85" t="s">
        <v>65</v>
      </c>
      <c r="H41" s="72">
        <v>16856</v>
      </c>
      <c r="I41" s="114"/>
      <c r="J41" s="225"/>
      <c r="K41" s="318"/>
      <c r="M41" s="108">
        <f>_xlfn.XLOOKUP(C:C,'[1]All Data'!$C:$C,'[1]All Data'!$H:$H)</f>
        <v>16856</v>
      </c>
      <c r="N41" s="108"/>
      <c r="O41" s="108">
        <f t="shared" si="0"/>
        <v>0</v>
      </c>
    </row>
    <row r="42" ht="30" customHeight="1" spans="1:15">
      <c r="A42" s="85" t="s">
        <v>538</v>
      </c>
      <c r="B42" s="316" t="s">
        <v>49</v>
      </c>
      <c r="C42" s="85" t="s">
        <v>559</v>
      </c>
      <c r="D42" s="73" t="s">
        <v>560</v>
      </c>
      <c r="E42" s="85" t="s">
        <v>132</v>
      </c>
      <c r="F42" s="74">
        <v>0</v>
      </c>
      <c r="G42" s="85" t="s">
        <v>65</v>
      </c>
      <c r="H42" s="72">
        <v>26236</v>
      </c>
      <c r="I42" s="114"/>
      <c r="J42" s="225"/>
      <c r="K42" s="318"/>
      <c r="M42" s="108">
        <f>_xlfn.XLOOKUP(C:C,'[1]All Data'!$C:$C,'[1]All Data'!$H:$H)</f>
        <v>26236</v>
      </c>
      <c r="N42" s="108"/>
      <c r="O42" s="108">
        <f t="shared" si="0"/>
        <v>0</v>
      </c>
    </row>
  </sheetData>
  <autoFilter xmlns:etc="http://www.wps.cn/officeDocument/2017/etCustomData" ref="A1:J42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6860Worldwide Price List - February 2015&amp;RAs of 02/09/2015</oddHeader>
    <oddFooter>&amp;CAlcatel-Lucent - Enterprise Solutions Division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104"/>
  <sheetViews>
    <sheetView workbookViewId="0">
      <pane ySplit="1" topLeftCell="A2" activePane="bottomLeft" state="frozen"/>
      <selection/>
      <selection pane="bottomLeft" activeCell="M1" sqref="M1:O2"/>
    </sheetView>
  </sheetViews>
  <sheetFormatPr defaultColWidth="9.16814159292035" defaultRowHeight="13.85"/>
  <cols>
    <col min="1" max="1" width="24.1681415929204" style="216" customWidth="1"/>
    <col min="2" max="2" width="19.1681415929204" style="216" customWidth="1"/>
    <col min="3" max="3" width="19.6637168141593" style="216" customWidth="1"/>
    <col min="4" max="4" width="87.1681415929203" style="308" customWidth="1"/>
    <col min="5" max="5" width="9.16814159292035" style="216" customWidth="1"/>
    <col min="6" max="6" width="10" style="216" customWidth="1"/>
    <col min="7" max="7" width="13.1681415929204" style="216" customWidth="1"/>
    <col min="8" max="8" width="11.1681415929204" style="215" customWidth="1"/>
    <col min="9" max="9" width="12" style="216" customWidth="1"/>
    <col min="10" max="10" width="10.1681415929204" style="216" customWidth="1"/>
    <col min="11" max="11" width="17.1681415929204" style="63" customWidth="1"/>
    <col min="12" max="255" width="9.16814159292035" style="63" customWidth="1"/>
    <col min="256" max="256" width="25.1681415929204" style="63" customWidth="1"/>
    <col min="257" max="257" width="18.6637168141593" style="63" customWidth="1"/>
    <col min="258" max="258" width="55.1681415929204" style="63" customWidth="1"/>
    <col min="259" max="259" width="9.16814159292035" style="63" customWidth="1"/>
    <col min="260" max="260" width="10" style="63" customWidth="1"/>
    <col min="261" max="261" width="13.1681415929204" style="63" customWidth="1"/>
    <col min="262" max="262" width="11.1681415929204" style="63" customWidth="1"/>
    <col min="263" max="263" width="12" style="63" customWidth="1"/>
    <col min="264" max="264" width="8" style="63" customWidth="1"/>
    <col min="265" max="511" width="9.16814159292035" style="63" customWidth="1"/>
    <col min="512" max="512" width="25.1681415929204" style="63" customWidth="1"/>
    <col min="513" max="513" width="18.6637168141593" style="63" customWidth="1"/>
    <col min="514" max="514" width="55.1681415929204" style="63" customWidth="1"/>
    <col min="515" max="515" width="9.16814159292035" style="63" customWidth="1"/>
    <col min="516" max="516" width="10" style="63" customWidth="1"/>
    <col min="517" max="517" width="13.1681415929204" style="63" customWidth="1"/>
    <col min="518" max="518" width="11.1681415929204" style="63" customWidth="1"/>
    <col min="519" max="519" width="12" style="63" customWidth="1"/>
    <col min="520" max="520" width="8" style="63" customWidth="1"/>
    <col min="521" max="767" width="9.16814159292035" style="63" customWidth="1"/>
    <col min="768" max="768" width="25.1681415929204" style="63" customWidth="1"/>
    <col min="769" max="769" width="18.6637168141593" style="63" customWidth="1"/>
    <col min="770" max="770" width="55.1681415929204" style="63" customWidth="1"/>
    <col min="771" max="771" width="9.16814159292035" style="63" customWidth="1"/>
    <col min="772" max="772" width="10" style="63" customWidth="1"/>
    <col min="773" max="773" width="13.1681415929204" style="63" customWidth="1"/>
    <col min="774" max="774" width="11.1681415929204" style="63" customWidth="1"/>
    <col min="775" max="775" width="12" style="63" customWidth="1"/>
    <col min="776" max="776" width="8" style="63" customWidth="1"/>
    <col min="777" max="1023" width="9.16814159292035" style="63" customWidth="1"/>
    <col min="1024" max="1024" width="25.1681415929204" style="63" customWidth="1"/>
    <col min="1025" max="1025" width="18.6637168141593" style="63" customWidth="1"/>
    <col min="1026" max="1026" width="55.1681415929204" style="63" customWidth="1"/>
    <col min="1027" max="1027" width="9.16814159292035" style="63" customWidth="1"/>
    <col min="1028" max="1028" width="10" style="63" customWidth="1"/>
    <col min="1029" max="1029" width="13.1681415929204" style="63" customWidth="1"/>
    <col min="1030" max="1030" width="11.1681415929204" style="63" customWidth="1"/>
    <col min="1031" max="1031" width="12" style="63" customWidth="1"/>
    <col min="1032" max="1032" width="8" style="63" customWidth="1"/>
    <col min="1033" max="1279" width="9.16814159292035" style="63" customWidth="1"/>
    <col min="1280" max="1280" width="25.1681415929204" style="63" customWidth="1"/>
    <col min="1281" max="1281" width="18.6637168141593" style="63" customWidth="1"/>
    <col min="1282" max="1282" width="55.1681415929204" style="63" customWidth="1"/>
    <col min="1283" max="1283" width="9.16814159292035" style="63" customWidth="1"/>
    <col min="1284" max="1284" width="10" style="63" customWidth="1"/>
    <col min="1285" max="1285" width="13.1681415929204" style="63" customWidth="1"/>
    <col min="1286" max="1286" width="11.1681415929204" style="63" customWidth="1"/>
    <col min="1287" max="1287" width="12" style="63" customWidth="1"/>
    <col min="1288" max="1288" width="8" style="63" customWidth="1"/>
    <col min="1289" max="1535" width="9.16814159292035" style="63" customWidth="1"/>
    <col min="1536" max="1536" width="25.1681415929204" style="63" customWidth="1"/>
    <col min="1537" max="1537" width="18.6637168141593" style="63" customWidth="1"/>
    <col min="1538" max="1538" width="55.1681415929204" style="63" customWidth="1"/>
    <col min="1539" max="1539" width="9.16814159292035" style="63" customWidth="1"/>
    <col min="1540" max="1540" width="10" style="63" customWidth="1"/>
    <col min="1541" max="1541" width="13.1681415929204" style="63" customWidth="1"/>
    <col min="1542" max="1542" width="11.1681415929204" style="63" customWidth="1"/>
    <col min="1543" max="1543" width="12" style="63" customWidth="1"/>
    <col min="1544" max="1544" width="8" style="63" customWidth="1"/>
    <col min="1545" max="1791" width="9.16814159292035" style="63" customWidth="1"/>
    <col min="1792" max="1792" width="25.1681415929204" style="63" customWidth="1"/>
    <col min="1793" max="1793" width="18.6637168141593" style="63" customWidth="1"/>
    <col min="1794" max="1794" width="55.1681415929204" style="63" customWidth="1"/>
    <col min="1795" max="1795" width="9.16814159292035" style="63" customWidth="1"/>
    <col min="1796" max="1796" width="10" style="63" customWidth="1"/>
    <col min="1797" max="1797" width="13.1681415929204" style="63" customWidth="1"/>
    <col min="1798" max="1798" width="11.1681415929204" style="63" customWidth="1"/>
    <col min="1799" max="1799" width="12" style="63" customWidth="1"/>
    <col min="1800" max="1800" width="8" style="63" customWidth="1"/>
    <col min="1801" max="2047" width="9.16814159292035" style="63" customWidth="1"/>
    <col min="2048" max="2048" width="25.1681415929204" style="63" customWidth="1"/>
    <col min="2049" max="2049" width="18.6637168141593" style="63" customWidth="1"/>
    <col min="2050" max="2050" width="55.1681415929204" style="63" customWidth="1"/>
    <col min="2051" max="2051" width="9.16814159292035" style="63" customWidth="1"/>
    <col min="2052" max="2052" width="10" style="63" customWidth="1"/>
    <col min="2053" max="2053" width="13.1681415929204" style="63" customWidth="1"/>
    <col min="2054" max="2054" width="11.1681415929204" style="63" customWidth="1"/>
    <col min="2055" max="2055" width="12" style="63" customWidth="1"/>
    <col min="2056" max="2056" width="8" style="63" customWidth="1"/>
    <col min="2057" max="2303" width="9.16814159292035" style="63" customWidth="1"/>
    <col min="2304" max="2304" width="25.1681415929204" style="63" customWidth="1"/>
    <col min="2305" max="2305" width="18.6637168141593" style="63" customWidth="1"/>
    <col min="2306" max="2306" width="55.1681415929204" style="63" customWidth="1"/>
    <col min="2307" max="2307" width="9.16814159292035" style="63" customWidth="1"/>
    <col min="2308" max="2308" width="10" style="63" customWidth="1"/>
    <col min="2309" max="2309" width="13.1681415929204" style="63" customWidth="1"/>
    <col min="2310" max="2310" width="11.1681415929204" style="63" customWidth="1"/>
    <col min="2311" max="2311" width="12" style="63" customWidth="1"/>
    <col min="2312" max="2312" width="8" style="63" customWidth="1"/>
    <col min="2313" max="2559" width="9.16814159292035" style="63" customWidth="1"/>
    <col min="2560" max="2560" width="25.1681415929204" style="63" customWidth="1"/>
    <col min="2561" max="2561" width="18.6637168141593" style="63" customWidth="1"/>
    <col min="2562" max="2562" width="55.1681415929204" style="63" customWidth="1"/>
    <col min="2563" max="2563" width="9.16814159292035" style="63" customWidth="1"/>
    <col min="2564" max="2564" width="10" style="63" customWidth="1"/>
    <col min="2565" max="2565" width="13.1681415929204" style="63" customWidth="1"/>
    <col min="2566" max="2566" width="11.1681415929204" style="63" customWidth="1"/>
    <col min="2567" max="2567" width="12" style="63" customWidth="1"/>
    <col min="2568" max="2568" width="8" style="63" customWidth="1"/>
    <col min="2569" max="2815" width="9.16814159292035" style="63" customWidth="1"/>
    <col min="2816" max="2816" width="25.1681415929204" style="63" customWidth="1"/>
    <col min="2817" max="2817" width="18.6637168141593" style="63" customWidth="1"/>
    <col min="2818" max="2818" width="55.1681415929204" style="63" customWidth="1"/>
    <col min="2819" max="2819" width="9.16814159292035" style="63" customWidth="1"/>
    <col min="2820" max="2820" width="10" style="63" customWidth="1"/>
    <col min="2821" max="2821" width="13.1681415929204" style="63" customWidth="1"/>
    <col min="2822" max="2822" width="11.1681415929204" style="63" customWidth="1"/>
    <col min="2823" max="2823" width="12" style="63" customWidth="1"/>
    <col min="2824" max="2824" width="8" style="63" customWidth="1"/>
    <col min="2825" max="3071" width="9.16814159292035" style="63" customWidth="1"/>
    <col min="3072" max="3072" width="25.1681415929204" style="63" customWidth="1"/>
    <col min="3073" max="3073" width="18.6637168141593" style="63" customWidth="1"/>
    <col min="3074" max="3074" width="55.1681415929204" style="63" customWidth="1"/>
    <col min="3075" max="3075" width="9.16814159292035" style="63" customWidth="1"/>
    <col min="3076" max="3076" width="10" style="63" customWidth="1"/>
    <col min="3077" max="3077" width="13.1681415929204" style="63" customWidth="1"/>
    <col min="3078" max="3078" width="11.1681415929204" style="63" customWidth="1"/>
    <col min="3079" max="3079" width="12" style="63" customWidth="1"/>
    <col min="3080" max="3080" width="8" style="63" customWidth="1"/>
    <col min="3081" max="3327" width="9.16814159292035" style="63" customWidth="1"/>
    <col min="3328" max="3328" width="25.1681415929204" style="63" customWidth="1"/>
    <col min="3329" max="3329" width="18.6637168141593" style="63" customWidth="1"/>
    <col min="3330" max="3330" width="55.1681415929204" style="63" customWidth="1"/>
    <col min="3331" max="3331" width="9.16814159292035" style="63" customWidth="1"/>
    <col min="3332" max="3332" width="10" style="63" customWidth="1"/>
    <col min="3333" max="3333" width="13.1681415929204" style="63" customWidth="1"/>
    <col min="3334" max="3334" width="11.1681415929204" style="63" customWidth="1"/>
    <col min="3335" max="3335" width="12" style="63" customWidth="1"/>
    <col min="3336" max="3336" width="8" style="63" customWidth="1"/>
    <col min="3337" max="3583" width="9.16814159292035" style="63" customWidth="1"/>
    <col min="3584" max="3584" width="25.1681415929204" style="63" customWidth="1"/>
    <col min="3585" max="3585" width="18.6637168141593" style="63" customWidth="1"/>
    <col min="3586" max="3586" width="55.1681415929204" style="63" customWidth="1"/>
    <col min="3587" max="3587" width="9.16814159292035" style="63" customWidth="1"/>
    <col min="3588" max="3588" width="10" style="63" customWidth="1"/>
    <col min="3589" max="3589" width="13.1681415929204" style="63" customWidth="1"/>
    <col min="3590" max="3590" width="11.1681415929204" style="63" customWidth="1"/>
    <col min="3591" max="3591" width="12" style="63" customWidth="1"/>
    <col min="3592" max="3592" width="8" style="63" customWidth="1"/>
    <col min="3593" max="3839" width="9.16814159292035" style="63" customWidth="1"/>
    <col min="3840" max="3840" width="25.1681415929204" style="63" customWidth="1"/>
    <col min="3841" max="3841" width="18.6637168141593" style="63" customWidth="1"/>
    <col min="3842" max="3842" width="55.1681415929204" style="63" customWidth="1"/>
    <col min="3843" max="3843" width="9.16814159292035" style="63" customWidth="1"/>
    <col min="3844" max="3844" width="10" style="63" customWidth="1"/>
    <col min="3845" max="3845" width="13.1681415929204" style="63" customWidth="1"/>
    <col min="3846" max="3846" width="11.1681415929204" style="63" customWidth="1"/>
    <col min="3847" max="3847" width="12" style="63" customWidth="1"/>
    <col min="3848" max="3848" width="8" style="63" customWidth="1"/>
    <col min="3849" max="4095" width="9.16814159292035" style="63" customWidth="1"/>
    <col min="4096" max="4096" width="25.1681415929204" style="63" customWidth="1"/>
    <col min="4097" max="4097" width="18.6637168141593" style="63" customWidth="1"/>
    <col min="4098" max="4098" width="55.1681415929204" style="63" customWidth="1"/>
    <col min="4099" max="4099" width="9.16814159292035" style="63" customWidth="1"/>
    <col min="4100" max="4100" width="10" style="63" customWidth="1"/>
    <col min="4101" max="4101" width="13.1681415929204" style="63" customWidth="1"/>
    <col min="4102" max="4102" width="11.1681415929204" style="63" customWidth="1"/>
    <col min="4103" max="4103" width="12" style="63" customWidth="1"/>
    <col min="4104" max="4104" width="8" style="63" customWidth="1"/>
    <col min="4105" max="4351" width="9.16814159292035" style="63" customWidth="1"/>
    <col min="4352" max="4352" width="25.1681415929204" style="63" customWidth="1"/>
    <col min="4353" max="4353" width="18.6637168141593" style="63" customWidth="1"/>
    <col min="4354" max="4354" width="55.1681415929204" style="63" customWidth="1"/>
    <col min="4355" max="4355" width="9.16814159292035" style="63" customWidth="1"/>
    <col min="4356" max="4356" width="10" style="63" customWidth="1"/>
    <col min="4357" max="4357" width="13.1681415929204" style="63" customWidth="1"/>
    <col min="4358" max="4358" width="11.1681415929204" style="63" customWidth="1"/>
    <col min="4359" max="4359" width="12" style="63" customWidth="1"/>
    <col min="4360" max="4360" width="8" style="63" customWidth="1"/>
    <col min="4361" max="4607" width="9.16814159292035" style="63" customWidth="1"/>
    <col min="4608" max="4608" width="25.1681415929204" style="63" customWidth="1"/>
    <col min="4609" max="4609" width="18.6637168141593" style="63" customWidth="1"/>
    <col min="4610" max="4610" width="55.1681415929204" style="63" customWidth="1"/>
    <col min="4611" max="4611" width="9.16814159292035" style="63" customWidth="1"/>
    <col min="4612" max="4612" width="10" style="63" customWidth="1"/>
    <col min="4613" max="4613" width="13.1681415929204" style="63" customWidth="1"/>
    <col min="4614" max="4614" width="11.1681415929204" style="63" customWidth="1"/>
    <col min="4615" max="4615" width="12" style="63" customWidth="1"/>
    <col min="4616" max="4616" width="8" style="63" customWidth="1"/>
    <col min="4617" max="4863" width="9.16814159292035" style="63" customWidth="1"/>
    <col min="4864" max="4864" width="25.1681415929204" style="63" customWidth="1"/>
    <col min="4865" max="4865" width="18.6637168141593" style="63" customWidth="1"/>
    <col min="4866" max="4866" width="55.1681415929204" style="63" customWidth="1"/>
    <col min="4867" max="4867" width="9.16814159292035" style="63" customWidth="1"/>
    <col min="4868" max="4868" width="10" style="63" customWidth="1"/>
    <col min="4869" max="4869" width="13.1681415929204" style="63" customWidth="1"/>
    <col min="4870" max="4870" width="11.1681415929204" style="63" customWidth="1"/>
    <col min="4871" max="4871" width="12" style="63" customWidth="1"/>
    <col min="4872" max="4872" width="8" style="63" customWidth="1"/>
    <col min="4873" max="5119" width="9.16814159292035" style="63" customWidth="1"/>
    <col min="5120" max="5120" width="25.1681415929204" style="63" customWidth="1"/>
    <col min="5121" max="5121" width="18.6637168141593" style="63" customWidth="1"/>
    <col min="5122" max="5122" width="55.1681415929204" style="63" customWidth="1"/>
    <col min="5123" max="5123" width="9.16814159292035" style="63" customWidth="1"/>
    <col min="5124" max="5124" width="10" style="63" customWidth="1"/>
    <col min="5125" max="5125" width="13.1681415929204" style="63" customWidth="1"/>
    <col min="5126" max="5126" width="11.1681415929204" style="63" customWidth="1"/>
    <col min="5127" max="5127" width="12" style="63" customWidth="1"/>
    <col min="5128" max="5128" width="8" style="63" customWidth="1"/>
    <col min="5129" max="5375" width="9.16814159292035" style="63" customWidth="1"/>
    <col min="5376" max="5376" width="25.1681415929204" style="63" customWidth="1"/>
    <col min="5377" max="5377" width="18.6637168141593" style="63" customWidth="1"/>
    <col min="5378" max="5378" width="55.1681415929204" style="63" customWidth="1"/>
    <col min="5379" max="5379" width="9.16814159292035" style="63" customWidth="1"/>
    <col min="5380" max="5380" width="10" style="63" customWidth="1"/>
    <col min="5381" max="5381" width="13.1681415929204" style="63" customWidth="1"/>
    <col min="5382" max="5382" width="11.1681415929204" style="63" customWidth="1"/>
    <col min="5383" max="5383" width="12" style="63" customWidth="1"/>
    <col min="5384" max="5384" width="8" style="63" customWidth="1"/>
    <col min="5385" max="5631" width="9.16814159292035" style="63" customWidth="1"/>
    <col min="5632" max="5632" width="25.1681415929204" style="63" customWidth="1"/>
    <col min="5633" max="5633" width="18.6637168141593" style="63" customWidth="1"/>
    <col min="5634" max="5634" width="55.1681415929204" style="63" customWidth="1"/>
    <col min="5635" max="5635" width="9.16814159292035" style="63" customWidth="1"/>
    <col min="5636" max="5636" width="10" style="63" customWidth="1"/>
    <col min="5637" max="5637" width="13.1681415929204" style="63" customWidth="1"/>
    <col min="5638" max="5638" width="11.1681415929204" style="63" customWidth="1"/>
    <col min="5639" max="5639" width="12" style="63" customWidth="1"/>
    <col min="5640" max="5640" width="8" style="63" customWidth="1"/>
    <col min="5641" max="5887" width="9.16814159292035" style="63" customWidth="1"/>
    <col min="5888" max="5888" width="25.1681415929204" style="63" customWidth="1"/>
    <col min="5889" max="5889" width="18.6637168141593" style="63" customWidth="1"/>
    <col min="5890" max="5890" width="55.1681415929204" style="63" customWidth="1"/>
    <col min="5891" max="5891" width="9.16814159292035" style="63" customWidth="1"/>
    <col min="5892" max="5892" width="10" style="63" customWidth="1"/>
    <col min="5893" max="5893" width="13.1681415929204" style="63" customWidth="1"/>
    <col min="5894" max="5894" width="11.1681415929204" style="63" customWidth="1"/>
    <col min="5895" max="5895" width="12" style="63" customWidth="1"/>
    <col min="5896" max="5896" width="8" style="63" customWidth="1"/>
    <col min="5897" max="6143" width="9.16814159292035" style="63" customWidth="1"/>
    <col min="6144" max="6144" width="25.1681415929204" style="63" customWidth="1"/>
    <col min="6145" max="6145" width="18.6637168141593" style="63" customWidth="1"/>
    <col min="6146" max="6146" width="55.1681415929204" style="63" customWidth="1"/>
    <col min="6147" max="6147" width="9.16814159292035" style="63" customWidth="1"/>
    <col min="6148" max="6148" width="10" style="63" customWidth="1"/>
    <col min="6149" max="6149" width="13.1681415929204" style="63" customWidth="1"/>
    <col min="6150" max="6150" width="11.1681415929204" style="63" customWidth="1"/>
    <col min="6151" max="6151" width="12" style="63" customWidth="1"/>
    <col min="6152" max="6152" width="8" style="63" customWidth="1"/>
    <col min="6153" max="6399" width="9.16814159292035" style="63" customWidth="1"/>
    <col min="6400" max="6400" width="25.1681415929204" style="63" customWidth="1"/>
    <col min="6401" max="6401" width="18.6637168141593" style="63" customWidth="1"/>
    <col min="6402" max="6402" width="55.1681415929204" style="63" customWidth="1"/>
    <col min="6403" max="6403" width="9.16814159292035" style="63" customWidth="1"/>
    <col min="6404" max="6404" width="10" style="63" customWidth="1"/>
    <col min="6405" max="6405" width="13.1681415929204" style="63" customWidth="1"/>
    <col min="6406" max="6406" width="11.1681415929204" style="63" customWidth="1"/>
    <col min="6407" max="6407" width="12" style="63" customWidth="1"/>
    <col min="6408" max="6408" width="8" style="63" customWidth="1"/>
    <col min="6409" max="6655" width="9.16814159292035" style="63" customWidth="1"/>
    <col min="6656" max="6656" width="25.1681415929204" style="63" customWidth="1"/>
    <col min="6657" max="6657" width="18.6637168141593" style="63" customWidth="1"/>
    <col min="6658" max="6658" width="55.1681415929204" style="63" customWidth="1"/>
    <col min="6659" max="6659" width="9.16814159292035" style="63" customWidth="1"/>
    <col min="6660" max="6660" width="10" style="63" customWidth="1"/>
    <col min="6661" max="6661" width="13.1681415929204" style="63" customWidth="1"/>
    <col min="6662" max="6662" width="11.1681415929204" style="63" customWidth="1"/>
    <col min="6663" max="6663" width="12" style="63" customWidth="1"/>
    <col min="6664" max="6664" width="8" style="63" customWidth="1"/>
    <col min="6665" max="6911" width="9.16814159292035" style="63" customWidth="1"/>
    <col min="6912" max="6912" width="25.1681415929204" style="63" customWidth="1"/>
    <col min="6913" max="6913" width="18.6637168141593" style="63" customWidth="1"/>
    <col min="6914" max="6914" width="55.1681415929204" style="63" customWidth="1"/>
    <col min="6915" max="6915" width="9.16814159292035" style="63" customWidth="1"/>
    <col min="6916" max="6916" width="10" style="63" customWidth="1"/>
    <col min="6917" max="6917" width="13.1681415929204" style="63" customWidth="1"/>
    <col min="6918" max="6918" width="11.1681415929204" style="63" customWidth="1"/>
    <col min="6919" max="6919" width="12" style="63" customWidth="1"/>
    <col min="6920" max="6920" width="8" style="63" customWidth="1"/>
    <col min="6921" max="7167" width="9.16814159292035" style="63" customWidth="1"/>
    <col min="7168" max="7168" width="25.1681415929204" style="63" customWidth="1"/>
    <col min="7169" max="7169" width="18.6637168141593" style="63" customWidth="1"/>
    <col min="7170" max="7170" width="55.1681415929204" style="63" customWidth="1"/>
    <col min="7171" max="7171" width="9.16814159292035" style="63" customWidth="1"/>
    <col min="7172" max="7172" width="10" style="63" customWidth="1"/>
    <col min="7173" max="7173" width="13.1681415929204" style="63" customWidth="1"/>
    <col min="7174" max="7174" width="11.1681415929204" style="63" customWidth="1"/>
    <col min="7175" max="7175" width="12" style="63" customWidth="1"/>
    <col min="7176" max="7176" width="8" style="63" customWidth="1"/>
    <col min="7177" max="7423" width="9.16814159292035" style="63" customWidth="1"/>
    <col min="7424" max="7424" width="25.1681415929204" style="63" customWidth="1"/>
    <col min="7425" max="7425" width="18.6637168141593" style="63" customWidth="1"/>
    <col min="7426" max="7426" width="55.1681415929204" style="63" customWidth="1"/>
    <col min="7427" max="7427" width="9.16814159292035" style="63" customWidth="1"/>
    <col min="7428" max="7428" width="10" style="63" customWidth="1"/>
    <col min="7429" max="7429" width="13.1681415929204" style="63" customWidth="1"/>
    <col min="7430" max="7430" width="11.1681415929204" style="63" customWidth="1"/>
    <col min="7431" max="7431" width="12" style="63" customWidth="1"/>
    <col min="7432" max="7432" width="8" style="63" customWidth="1"/>
    <col min="7433" max="7679" width="9.16814159292035" style="63" customWidth="1"/>
    <col min="7680" max="7680" width="25.1681415929204" style="63" customWidth="1"/>
    <col min="7681" max="7681" width="18.6637168141593" style="63" customWidth="1"/>
    <col min="7682" max="7682" width="55.1681415929204" style="63" customWidth="1"/>
    <col min="7683" max="7683" width="9.16814159292035" style="63" customWidth="1"/>
    <col min="7684" max="7684" width="10" style="63" customWidth="1"/>
    <col min="7685" max="7685" width="13.1681415929204" style="63" customWidth="1"/>
    <col min="7686" max="7686" width="11.1681415929204" style="63" customWidth="1"/>
    <col min="7687" max="7687" width="12" style="63" customWidth="1"/>
    <col min="7688" max="7688" width="8" style="63" customWidth="1"/>
    <col min="7689" max="7935" width="9.16814159292035" style="63" customWidth="1"/>
    <col min="7936" max="7936" width="25.1681415929204" style="63" customWidth="1"/>
    <col min="7937" max="7937" width="18.6637168141593" style="63" customWidth="1"/>
    <col min="7938" max="7938" width="55.1681415929204" style="63" customWidth="1"/>
    <col min="7939" max="7939" width="9.16814159292035" style="63" customWidth="1"/>
    <col min="7940" max="7940" width="10" style="63" customWidth="1"/>
    <col min="7941" max="7941" width="13.1681415929204" style="63" customWidth="1"/>
    <col min="7942" max="7942" width="11.1681415929204" style="63" customWidth="1"/>
    <col min="7943" max="7943" width="12" style="63" customWidth="1"/>
    <col min="7944" max="7944" width="8" style="63" customWidth="1"/>
    <col min="7945" max="8191" width="9.16814159292035" style="63" customWidth="1"/>
    <col min="8192" max="8192" width="25.1681415929204" style="63" customWidth="1"/>
    <col min="8193" max="8193" width="18.6637168141593" style="63" customWidth="1"/>
    <col min="8194" max="8194" width="55.1681415929204" style="63" customWidth="1"/>
    <col min="8195" max="8195" width="9.16814159292035" style="63" customWidth="1"/>
    <col min="8196" max="8196" width="10" style="63" customWidth="1"/>
    <col min="8197" max="8197" width="13.1681415929204" style="63" customWidth="1"/>
    <col min="8198" max="8198" width="11.1681415929204" style="63" customWidth="1"/>
    <col min="8199" max="8199" width="12" style="63" customWidth="1"/>
    <col min="8200" max="8200" width="8" style="63" customWidth="1"/>
    <col min="8201" max="8447" width="9.16814159292035" style="63" customWidth="1"/>
    <col min="8448" max="8448" width="25.1681415929204" style="63" customWidth="1"/>
    <col min="8449" max="8449" width="18.6637168141593" style="63" customWidth="1"/>
    <col min="8450" max="8450" width="55.1681415929204" style="63" customWidth="1"/>
    <col min="8451" max="8451" width="9.16814159292035" style="63" customWidth="1"/>
    <col min="8452" max="8452" width="10" style="63" customWidth="1"/>
    <col min="8453" max="8453" width="13.1681415929204" style="63" customWidth="1"/>
    <col min="8454" max="8454" width="11.1681415929204" style="63" customWidth="1"/>
    <col min="8455" max="8455" width="12" style="63" customWidth="1"/>
    <col min="8456" max="8456" width="8" style="63" customWidth="1"/>
    <col min="8457" max="8703" width="9.16814159292035" style="63" customWidth="1"/>
    <col min="8704" max="8704" width="25.1681415929204" style="63" customWidth="1"/>
    <col min="8705" max="8705" width="18.6637168141593" style="63" customWidth="1"/>
    <col min="8706" max="8706" width="55.1681415929204" style="63" customWidth="1"/>
    <col min="8707" max="8707" width="9.16814159292035" style="63" customWidth="1"/>
    <col min="8708" max="8708" width="10" style="63" customWidth="1"/>
    <col min="8709" max="8709" width="13.1681415929204" style="63" customWidth="1"/>
    <col min="8710" max="8710" width="11.1681415929204" style="63" customWidth="1"/>
    <col min="8711" max="8711" width="12" style="63" customWidth="1"/>
    <col min="8712" max="8712" width="8" style="63" customWidth="1"/>
    <col min="8713" max="8959" width="9.16814159292035" style="63" customWidth="1"/>
    <col min="8960" max="8960" width="25.1681415929204" style="63" customWidth="1"/>
    <col min="8961" max="8961" width="18.6637168141593" style="63" customWidth="1"/>
    <col min="8962" max="8962" width="55.1681415929204" style="63" customWidth="1"/>
    <col min="8963" max="8963" width="9.16814159292035" style="63" customWidth="1"/>
    <col min="8964" max="8964" width="10" style="63" customWidth="1"/>
    <col min="8965" max="8965" width="13.1681415929204" style="63" customWidth="1"/>
    <col min="8966" max="8966" width="11.1681415929204" style="63" customWidth="1"/>
    <col min="8967" max="8967" width="12" style="63" customWidth="1"/>
    <col min="8968" max="8968" width="8" style="63" customWidth="1"/>
    <col min="8969" max="9215" width="9.16814159292035" style="63" customWidth="1"/>
    <col min="9216" max="9216" width="25.1681415929204" style="63" customWidth="1"/>
    <col min="9217" max="9217" width="18.6637168141593" style="63" customWidth="1"/>
    <col min="9218" max="9218" width="55.1681415929204" style="63" customWidth="1"/>
    <col min="9219" max="9219" width="9.16814159292035" style="63" customWidth="1"/>
    <col min="9220" max="9220" width="10" style="63" customWidth="1"/>
    <col min="9221" max="9221" width="13.1681415929204" style="63" customWidth="1"/>
    <col min="9222" max="9222" width="11.1681415929204" style="63" customWidth="1"/>
    <col min="9223" max="9223" width="12" style="63" customWidth="1"/>
    <col min="9224" max="9224" width="8" style="63" customWidth="1"/>
    <col min="9225" max="9471" width="9.16814159292035" style="63" customWidth="1"/>
    <col min="9472" max="9472" width="25.1681415929204" style="63" customWidth="1"/>
    <col min="9473" max="9473" width="18.6637168141593" style="63" customWidth="1"/>
    <col min="9474" max="9474" width="55.1681415929204" style="63" customWidth="1"/>
    <col min="9475" max="9475" width="9.16814159292035" style="63" customWidth="1"/>
    <col min="9476" max="9476" width="10" style="63" customWidth="1"/>
    <col min="9477" max="9477" width="13.1681415929204" style="63" customWidth="1"/>
    <col min="9478" max="9478" width="11.1681415929204" style="63" customWidth="1"/>
    <col min="9479" max="9479" width="12" style="63" customWidth="1"/>
    <col min="9480" max="9480" width="8" style="63" customWidth="1"/>
    <col min="9481" max="9727" width="9.16814159292035" style="63" customWidth="1"/>
    <col min="9728" max="9728" width="25.1681415929204" style="63" customWidth="1"/>
    <col min="9729" max="9729" width="18.6637168141593" style="63" customWidth="1"/>
    <col min="9730" max="9730" width="55.1681415929204" style="63" customWidth="1"/>
    <col min="9731" max="9731" width="9.16814159292035" style="63" customWidth="1"/>
    <col min="9732" max="9732" width="10" style="63" customWidth="1"/>
    <col min="9733" max="9733" width="13.1681415929204" style="63" customWidth="1"/>
    <col min="9734" max="9734" width="11.1681415929204" style="63" customWidth="1"/>
    <col min="9735" max="9735" width="12" style="63" customWidth="1"/>
    <col min="9736" max="9736" width="8" style="63" customWidth="1"/>
    <col min="9737" max="9983" width="9.16814159292035" style="63" customWidth="1"/>
    <col min="9984" max="9984" width="25.1681415929204" style="63" customWidth="1"/>
    <col min="9985" max="9985" width="18.6637168141593" style="63" customWidth="1"/>
    <col min="9986" max="9986" width="55.1681415929204" style="63" customWidth="1"/>
    <col min="9987" max="9987" width="9.16814159292035" style="63" customWidth="1"/>
    <col min="9988" max="9988" width="10" style="63" customWidth="1"/>
    <col min="9989" max="9989" width="13.1681415929204" style="63" customWidth="1"/>
    <col min="9990" max="9990" width="11.1681415929204" style="63" customWidth="1"/>
    <col min="9991" max="9991" width="12" style="63" customWidth="1"/>
    <col min="9992" max="9992" width="8" style="63" customWidth="1"/>
    <col min="9993" max="10239" width="9.16814159292035" style="63" customWidth="1"/>
    <col min="10240" max="10240" width="25.1681415929204" style="63" customWidth="1"/>
    <col min="10241" max="10241" width="18.6637168141593" style="63" customWidth="1"/>
    <col min="10242" max="10242" width="55.1681415929204" style="63" customWidth="1"/>
    <col min="10243" max="10243" width="9.16814159292035" style="63" customWidth="1"/>
    <col min="10244" max="10244" width="10" style="63" customWidth="1"/>
    <col min="10245" max="10245" width="13.1681415929204" style="63" customWidth="1"/>
    <col min="10246" max="10246" width="11.1681415929204" style="63" customWidth="1"/>
    <col min="10247" max="10247" width="12" style="63" customWidth="1"/>
    <col min="10248" max="10248" width="8" style="63" customWidth="1"/>
    <col min="10249" max="10495" width="9.16814159292035" style="63" customWidth="1"/>
    <col min="10496" max="10496" width="25.1681415929204" style="63" customWidth="1"/>
    <col min="10497" max="10497" width="18.6637168141593" style="63" customWidth="1"/>
    <col min="10498" max="10498" width="55.1681415929204" style="63" customWidth="1"/>
    <col min="10499" max="10499" width="9.16814159292035" style="63" customWidth="1"/>
    <col min="10500" max="10500" width="10" style="63" customWidth="1"/>
    <col min="10501" max="10501" width="13.1681415929204" style="63" customWidth="1"/>
    <col min="10502" max="10502" width="11.1681415929204" style="63" customWidth="1"/>
    <col min="10503" max="10503" width="12" style="63" customWidth="1"/>
    <col min="10504" max="10504" width="8" style="63" customWidth="1"/>
    <col min="10505" max="10751" width="9.16814159292035" style="63" customWidth="1"/>
    <col min="10752" max="10752" width="25.1681415929204" style="63" customWidth="1"/>
    <col min="10753" max="10753" width="18.6637168141593" style="63" customWidth="1"/>
    <col min="10754" max="10754" width="55.1681415929204" style="63" customWidth="1"/>
    <col min="10755" max="10755" width="9.16814159292035" style="63" customWidth="1"/>
    <col min="10756" max="10756" width="10" style="63" customWidth="1"/>
    <col min="10757" max="10757" width="13.1681415929204" style="63" customWidth="1"/>
    <col min="10758" max="10758" width="11.1681415929204" style="63" customWidth="1"/>
    <col min="10759" max="10759" width="12" style="63" customWidth="1"/>
    <col min="10760" max="10760" width="8" style="63" customWidth="1"/>
    <col min="10761" max="11007" width="9.16814159292035" style="63" customWidth="1"/>
    <col min="11008" max="11008" width="25.1681415929204" style="63" customWidth="1"/>
    <col min="11009" max="11009" width="18.6637168141593" style="63" customWidth="1"/>
    <col min="11010" max="11010" width="55.1681415929204" style="63" customWidth="1"/>
    <col min="11011" max="11011" width="9.16814159292035" style="63" customWidth="1"/>
    <col min="11012" max="11012" width="10" style="63" customWidth="1"/>
    <col min="11013" max="11013" width="13.1681415929204" style="63" customWidth="1"/>
    <col min="11014" max="11014" width="11.1681415929204" style="63" customWidth="1"/>
    <col min="11015" max="11015" width="12" style="63" customWidth="1"/>
    <col min="11016" max="11016" width="8" style="63" customWidth="1"/>
    <col min="11017" max="11263" width="9.16814159292035" style="63" customWidth="1"/>
    <col min="11264" max="11264" width="25.1681415929204" style="63" customWidth="1"/>
    <col min="11265" max="11265" width="18.6637168141593" style="63" customWidth="1"/>
    <col min="11266" max="11266" width="55.1681415929204" style="63" customWidth="1"/>
    <col min="11267" max="11267" width="9.16814159292035" style="63" customWidth="1"/>
    <col min="11268" max="11268" width="10" style="63" customWidth="1"/>
    <col min="11269" max="11269" width="13.1681415929204" style="63" customWidth="1"/>
    <col min="11270" max="11270" width="11.1681415929204" style="63" customWidth="1"/>
    <col min="11271" max="11271" width="12" style="63" customWidth="1"/>
    <col min="11272" max="11272" width="8" style="63" customWidth="1"/>
    <col min="11273" max="11519" width="9.16814159292035" style="63" customWidth="1"/>
    <col min="11520" max="11520" width="25.1681415929204" style="63" customWidth="1"/>
    <col min="11521" max="11521" width="18.6637168141593" style="63" customWidth="1"/>
    <col min="11522" max="11522" width="55.1681415929204" style="63" customWidth="1"/>
    <col min="11523" max="11523" width="9.16814159292035" style="63" customWidth="1"/>
    <col min="11524" max="11524" width="10" style="63" customWidth="1"/>
    <col min="11525" max="11525" width="13.1681415929204" style="63" customWidth="1"/>
    <col min="11526" max="11526" width="11.1681415929204" style="63" customWidth="1"/>
    <col min="11527" max="11527" width="12" style="63" customWidth="1"/>
    <col min="11528" max="11528" width="8" style="63" customWidth="1"/>
    <col min="11529" max="11775" width="9.16814159292035" style="63" customWidth="1"/>
    <col min="11776" max="11776" width="25.1681415929204" style="63" customWidth="1"/>
    <col min="11777" max="11777" width="18.6637168141593" style="63" customWidth="1"/>
    <col min="11778" max="11778" width="55.1681415929204" style="63" customWidth="1"/>
    <col min="11779" max="11779" width="9.16814159292035" style="63" customWidth="1"/>
    <col min="11780" max="11780" width="10" style="63" customWidth="1"/>
    <col min="11781" max="11781" width="13.1681415929204" style="63" customWidth="1"/>
    <col min="11782" max="11782" width="11.1681415929204" style="63" customWidth="1"/>
    <col min="11783" max="11783" width="12" style="63" customWidth="1"/>
    <col min="11784" max="11784" width="8" style="63" customWidth="1"/>
    <col min="11785" max="12031" width="9.16814159292035" style="63" customWidth="1"/>
    <col min="12032" max="12032" width="25.1681415929204" style="63" customWidth="1"/>
    <col min="12033" max="12033" width="18.6637168141593" style="63" customWidth="1"/>
    <col min="12034" max="12034" width="55.1681415929204" style="63" customWidth="1"/>
    <col min="12035" max="12035" width="9.16814159292035" style="63" customWidth="1"/>
    <col min="12036" max="12036" width="10" style="63" customWidth="1"/>
    <col min="12037" max="12037" width="13.1681415929204" style="63" customWidth="1"/>
    <col min="12038" max="12038" width="11.1681415929204" style="63" customWidth="1"/>
    <col min="12039" max="12039" width="12" style="63" customWidth="1"/>
    <col min="12040" max="12040" width="8" style="63" customWidth="1"/>
    <col min="12041" max="12287" width="9.16814159292035" style="63" customWidth="1"/>
    <col min="12288" max="12288" width="25.1681415929204" style="63" customWidth="1"/>
    <col min="12289" max="12289" width="18.6637168141593" style="63" customWidth="1"/>
    <col min="12290" max="12290" width="55.1681415929204" style="63" customWidth="1"/>
    <col min="12291" max="12291" width="9.16814159292035" style="63" customWidth="1"/>
    <col min="12292" max="12292" width="10" style="63" customWidth="1"/>
    <col min="12293" max="12293" width="13.1681415929204" style="63" customWidth="1"/>
    <col min="12294" max="12294" width="11.1681415929204" style="63" customWidth="1"/>
    <col min="12295" max="12295" width="12" style="63" customWidth="1"/>
    <col min="12296" max="12296" width="8" style="63" customWidth="1"/>
    <col min="12297" max="12543" width="9.16814159292035" style="63" customWidth="1"/>
    <col min="12544" max="12544" width="25.1681415929204" style="63" customWidth="1"/>
    <col min="12545" max="12545" width="18.6637168141593" style="63" customWidth="1"/>
    <col min="12546" max="12546" width="55.1681415929204" style="63" customWidth="1"/>
    <col min="12547" max="12547" width="9.16814159292035" style="63" customWidth="1"/>
    <col min="12548" max="12548" width="10" style="63" customWidth="1"/>
    <col min="12549" max="12549" width="13.1681415929204" style="63" customWidth="1"/>
    <col min="12550" max="12550" width="11.1681415929204" style="63" customWidth="1"/>
    <col min="12551" max="12551" width="12" style="63" customWidth="1"/>
    <col min="12552" max="12552" width="8" style="63" customWidth="1"/>
    <col min="12553" max="12799" width="9.16814159292035" style="63" customWidth="1"/>
    <col min="12800" max="12800" width="25.1681415929204" style="63" customWidth="1"/>
    <col min="12801" max="12801" width="18.6637168141593" style="63" customWidth="1"/>
    <col min="12802" max="12802" width="55.1681415929204" style="63" customWidth="1"/>
    <col min="12803" max="12803" width="9.16814159292035" style="63" customWidth="1"/>
    <col min="12804" max="12804" width="10" style="63" customWidth="1"/>
    <col min="12805" max="12805" width="13.1681415929204" style="63" customWidth="1"/>
    <col min="12806" max="12806" width="11.1681415929204" style="63" customWidth="1"/>
    <col min="12807" max="12807" width="12" style="63" customWidth="1"/>
    <col min="12808" max="12808" width="8" style="63" customWidth="1"/>
    <col min="12809" max="13055" width="9.16814159292035" style="63" customWidth="1"/>
    <col min="13056" max="13056" width="25.1681415929204" style="63" customWidth="1"/>
    <col min="13057" max="13057" width="18.6637168141593" style="63" customWidth="1"/>
    <col min="13058" max="13058" width="55.1681415929204" style="63" customWidth="1"/>
    <col min="13059" max="13059" width="9.16814159292035" style="63" customWidth="1"/>
    <col min="13060" max="13060" width="10" style="63" customWidth="1"/>
    <col min="13061" max="13061" width="13.1681415929204" style="63" customWidth="1"/>
    <col min="13062" max="13062" width="11.1681415929204" style="63" customWidth="1"/>
    <col min="13063" max="13063" width="12" style="63" customWidth="1"/>
    <col min="13064" max="13064" width="8" style="63" customWidth="1"/>
    <col min="13065" max="13311" width="9.16814159292035" style="63" customWidth="1"/>
    <col min="13312" max="13312" width="25.1681415929204" style="63" customWidth="1"/>
    <col min="13313" max="13313" width="18.6637168141593" style="63" customWidth="1"/>
    <col min="13314" max="13314" width="55.1681415929204" style="63" customWidth="1"/>
    <col min="13315" max="13315" width="9.16814159292035" style="63" customWidth="1"/>
    <col min="13316" max="13316" width="10" style="63" customWidth="1"/>
    <col min="13317" max="13317" width="13.1681415929204" style="63" customWidth="1"/>
    <col min="13318" max="13318" width="11.1681415929204" style="63" customWidth="1"/>
    <col min="13319" max="13319" width="12" style="63" customWidth="1"/>
    <col min="13320" max="13320" width="8" style="63" customWidth="1"/>
    <col min="13321" max="13567" width="9.16814159292035" style="63" customWidth="1"/>
    <col min="13568" max="13568" width="25.1681415929204" style="63" customWidth="1"/>
    <col min="13569" max="13569" width="18.6637168141593" style="63" customWidth="1"/>
    <col min="13570" max="13570" width="55.1681415929204" style="63" customWidth="1"/>
    <col min="13571" max="13571" width="9.16814159292035" style="63" customWidth="1"/>
    <col min="13572" max="13572" width="10" style="63" customWidth="1"/>
    <col min="13573" max="13573" width="13.1681415929204" style="63" customWidth="1"/>
    <col min="13574" max="13574" width="11.1681415929204" style="63" customWidth="1"/>
    <col min="13575" max="13575" width="12" style="63" customWidth="1"/>
    <col min="13576" max="13576" width="8" style="63" customWidth="1"/>
    <col min="13577" max="13823" width="9.16814159292035" style="63" customWidth="1"/>
    <col min="13824" max="13824" width="25.1681415929204" style="63" customWidth="1"/>
    <col min="13825" max="13825" width="18.6637168141593" style="63" customWidth="1"/>
    <col min="13826" max="13826" width="55.1681415929204" style="63" customWidth="1"/>
    <col min="13827" max="13827" width="9.16814159292035" style="63" customWidth="1"/>
    <col min="13828" max="13828" width="10" style="63" customWidth="1"/>
    <col min="13829" max="13829" width="13.1681415929204" style="63" customWidth="1"/>
    <col min="13830" max="13830" width="11.1681415929204" style="63" customWidth="1"/>
    <col min="13831" max="13831" width="12" style="63" customWidth="1"/>
    <col min="13832" max="13832" width="8" style="63" customWidth="1"/>
    <col min="13833" max="14079" width="9.16814159292035" style="63" customWidth="1"/>
    <col min="14080" max="14080" width="25.1681415929204" style="63" customWidth="1"/>
    <col min="14081" max="14081" width="18.6637168141593" style="63" customWidth="1"/>
    <col min="14082" max="14082" width="55.1681415929204" style="63" customWidth="1"/>
    <col min="14083" max="14083" width="9.16814159292035" style="63" customWidth="1"/>
    <col min="14084" max="14084" width="10" style="63" customWidth="1"/>
    <col min="14085" max="14085" width="13.1681415929204" style="63" customWidth="1"/>
    <col min="14086" max="14086" width="11.1681415929204" style="63" customWidth="1"/>
    <col min="14087" max="14087" width="12" style="63" customWidth="1"/>
    <col min="14088" max="14088" width="8" style="63" customWidth="1"/>
    <col min="14089" max="14335" width="9.16814159292035" style="63" customWidth="1"/>
    <col min="14336" max="14336" width="25.1681415929204" style="63" customWidth="1"/>
    <col min="14337" max="14337" width="18.6637168141593" style="63" customWidth="1"/>
    <col min="14338" max="14338" width="55.1681415929204" style="63" customWidth="1"/>
    <col min="14339" max="14339" width="9.16814159292035" style="63" customWidth="1"/>
    <col min="14340" max="14340" width="10" style="63" customWidth="1"/>
    <col min="14341" max="14341" width="13.1681415929204" style="63" customWidth="1"/>
    <col min="14342" max="14342" width="11.1681415929204" style="63" customWidth="1"/>
    <col min="14343" max="14343" width="12" style="63" customWidth="1"/>
    <col min="14344" max="14344" width="8" style="63" customWidth="1"/>
    <col min="14345" max="14591" width="9.16814159292035" style="63" customWidth="1"/>
    <col min="14592" max="14592" width="25.1681415929204" style="63" customWidth="1"/>
    <col min="14593" max="14593" width="18.6637168141593" style="63" customWidth="1"/>
    <col min="14594" max="14594" width="55.1681415929204" style="63" customWidth="1"/>
    <col min="14595" max="14595" width="9.16814159292035" style="63" customWidth="1"/>
    <col min="14596" max="14596" width="10" style="63" customWidth="1"/>
    <col min="14597" max="14597" width="13.1681415929204" style="63" customWidth="1"/>
    <col min="14598" max="14598" width="11.1681415929204" style="63" customWidth="1"/>
    <col min="14599" max="14599" width="12" style="63" customWidth="1"/>
    <col min="14600" max="14600" width="8" style="63" customWidth="1"/>
    <col min="14601" max="14847" width="9.16814159292035" style="63" customWidth="1"/>
    <col min="14848" max="14848" width="25.1681415929204" style="63" customWidth="1"/>
    <col min="14849" max="14849" width="18.6637168141593" style="63" customWidth="1"/>
    <col min="14850" max="14850" width="55.1681415929204" style="63" customWidth="1"/>
    <col min="14851" max="14851" width="9.16814159292035" style="63" customWidth="1"/>
    <col min="14852" max="14852" width="10" style="63" customWidth="1"/>
    <col min="14853" max="14853" width="13.1681415929204" style="63" customWidth="1"/>
    <col min="14854" max="14854" width="11.1681415929204" style="63" customWidth="1"/>
    <col min="14855" max="14855" width="12" style="63" customWidth="1"/>
    <col min="14856" max="14856" width="8" style="63" customWidth="1"/>
    <col min="14857" max="15103" width="9.16814159292035" style="63" customWidth="1"/>
    <col min="15104" max="15104" width="25.1681415929204" style="63" customWidth="1"/>
    <col min="15105" max="15105" width="18.6637168141593" style="63" customWidth="1"/>
    <col min="15106" max="15106" width="55.1681415929204" style="63" customWidth="1"/>
    <col min="15107" max="15107" width="9.16814159292035" style="63" customWidth="1"/>
    <col min="15108" max="15108" width="10" style="63" customWidth="1"/>
    <col min="15109" max="15109" width="13.1681415929204" style="63" customWidth="1"/>
    <col min="15110" max="15110" width="11.1681415929204" style="63" customWidth="1"/>
    <col min="15111" max="15111" width="12" style="63" customWidth="1"/>
    <col min="15112" max="15112" width="8" style="63" customWidth="1"/>
    <col min="15113" max="15359" width="9.16814159292035" style="63" customWidth="1"/>
    <col min="15360" max="15360" width="25.1681415929204" style="63" customWidth="1"/>
    <col min="15361" max="15361" width="18.6637168141593" style="63" customWidth="1"/>
    <col min="15362" max="15362" width="55.1681415929204" style="63" customWidth="1"/>
    <col min="15363" max="15363" width="9.16814159292035" style="63" customWidth="1"/>
    <col min="15364" max="15364" width="10" style="63" customWidth="1"/>
    <col min="15365" max="15365" width="13.1681415929204" style="63" customWidth="1"/>
    <col min="15366" max="15366" width="11.1681415929204" style="63" customWidth="1"/>
    <col min="15367" max="15367" width="12" style="63" customWidth="1"/>
    <col min="15368" max="15368" width="8" style="63" customWidth="1"/>
    <col min="15369" max="15615" width="9.16814159292035" style="63" customWidth="1"/>
    <col min="15616" max="15616" width="25.1681415929204" style="63" customWidth="1"/>
    <col min="15617" max="15617" width="18.6637168141593" style="63" customWidth="1"/>
    <col min="15618" max="15618" width="55.1681415929204" style="63" customWidth="1"/>
    <col min="15619" max="15619" width="9.16814159292035" style="63" customWidth="1"/>
    <col min="15620" max="15620" width="10" style="63" customWidth="1"/>
    <col min="15621" max="15621" width="13.1681415929204" style="63" customWidth="1"/>
    <col min="15622" max="15622" width="11.1681415929204" style="63" customWidth="1"/>
    <col min="15623" max="15623" width="12" style="63" customWidth="1"/>
    <col min="15624" max="15624" width="8" style="63" customWidth="1"/>
    <col min="15625" max="15871" width="9.16814159292035" style="63" customWidth="1"/>
    <col min="15872" max="15872" width="25.1681415929204" style="63" customWidth="1"/>
    <col min="15873" max="15873" width="18.6637168141593" style="63" customWidth="1"/>
    <col min="15874" max="15874" width="55.1681415929204" style="63" customWidth="1"/>
    <col min="15875" max="15875" width="9.16814159292035" style="63" customWidth="1"/>
    <col min="15876" max="15876" width="10" style="63" customWidth="1"/>
    <col min="15877" max="15877" width="13.1681415929204" style="63" customWidth="1"/>
    <col min="15878" max="15878" width="11.1681415929204" style="63" customWidth="1"/>
    <col min="15879" max="15879" width="12" style="63" customWidth="1"/>
    <col min="15880" max="15880" width="8" style="63" customWidth="1"/>
    <col min="15881" max="16127" width="9.16814159292035" style="63" customWidth="1"/>
    <col min="16128" max="16128" width="25.1681415929204" style="63" customWidth="1"/>
    <col min="16129" max="16129" width="18.6637168141593" style="63" customWidth="1"/>
    <col min="16130" max="16130" width="55.1681415929204" style="63" customWidth="1"/>
    <col min="16131" max="16131" width="9.16814159292035" style="63" customWidth="1"/>
    <col min="16132" max="16132" width="10" style="63" customWidth="1"/>
    <col min="16133" max="16133" width="13.1681415929204" style="63" customWidth="1"/>
    <col min="16134" max="16134" width="11.1681415929204" style="63" customWidth="1"/>
    <col min="16135" max="16135" width="12" style="63" customWidth="1"/>
    <col min="16136" max="16136" width="8" style="63" customWidth="1"/>
    <col min="16137" max="16384" width="9.16814159292035" style="63" customWidth="1"/>
  </cols>
  <sheetData>
    <row r="1" spans="1:15">
      <c r="A1" s="70" t="s">
        <v>50</v>
      </c>
      <c r="B1" s="70" t="s">
        <v>51</v>
      </c>
      <c r="C1" s="70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  <c r="M1" s="309" t="s">
        <v>340</v>
      </c>
      <c r="N1" s="309"/>
      <c r="O1" s="309"/>
    </row>
    <row r="2" s="307" customFormat="1" ht="60" customHeight="1" spans="1:15">
      <c r="A2" s="72" t="s">
        <v>561</v>
      </c>
      <c r="B2" s="72" t="s">
        <v>30</v>
      </c>
      <c r="C2" s="72" t="s">
        <v>562</v>
      </c>
      <c r="D2" s="76" t="s">
        <v>563</v>
      </c>
      <c r="E2" s="72" t="s">
        <v>284</v>
      </c>
      <c r="F2" s="74">
        <v>2</v>
      </c>
      <c r="G2" s="72" t="s">
        <v>65</v>
      </c>
      <c r="H2" s="205">
        <v>176080</v>
      </c>
      <c r="I2" s="100"/>
      <c r="J2" s="72"/>
      <c r="K2" s="310"/>
      <c r="M2" s="108">
        <f>_xlfn.XLOOKUP(C:C,'[1]All Data'!$C:$C,'[1]All Data'!$H:$H)</f>
        <v>176080</v>
      </c>
      <c r="N2" s="108"/>
      <c r="O2" s="108">
        <f>H2-M2</f>
        <v>0</v>
      </c>
    </row>
    <row r="3" ht="75" customHeight="1" spans="1:15">
      <c r="A3" s="72" t="s">
        <v>561</v>
      </c>
      <c r="B3" s="72" t="s">
        <v>30</v>
      </c>
      <c r="C3" s="72" t="s">
        <v>564</v>
      </c>
      <c r="D3" s="76" t="s">
        <v>565</v>
      </c>
      <c r="E3" s="72" t="s">
        <v>284</v>
      </c>
      <c r="F3" s="74">
        <v>2</v>
      </c>
      <c r="G3" s="72" t="s">
        <v>65</v>
      </c>
      <c r="H3" s="205">
        <v>184420</v>
      </c>
      <c r="I3" s="100"/>
      <c r="J3" s="72"/>
      <c r="K3" s="310"/>
      <c r="L3" s="307"/>
      <c r="M3" s="108">
        <f>_xlfn.XLOOKUP(C:C,'[1]All Data'!$C:$C,'[1]All Data'!$H:$H)</f>
        <v>184420</v>
      </c>
      <c r="N3" s="108"/>
      <c r="O3" s="108">
        <f t="shared" ref="O3:O34" si="0">H3-M3</f>
        <v>0</v>
      </c>
    </row>
    <row r="4" s="307" customFormat="1" ht="45" customHeight="1" spans="1:15">
      <c r="A4" s="311" t="s">
        <v>561</v>
      </c>
      <c r="B4" s="72" t="s">
        <v>32</v>
      </c>
      <c r="C4" s="72" t="s">
        <v>566</v>
      </c>
      <c r="D4" s="76" t="s">
        <v>567</v>
      </c>
      <c r="E4" s="72" t="s">
        <v>284</v>
      </c>
      <c r="F4" s="74">
        <v>2</v>
      </c>
      <c r="G4" s="72" t="s">
        <v>65</v>
      </c>
      <c r="H4" s="205">
        <v>165320</v>
      </c>
      <c r="I4" s="100"/>
      <c r="J4" s="72"/>
      <c r="K4" s="310"/>
      <c r="M4" s="108">
        <f>_xlfn.XLOOKUP(C:C,'[1]All Data'!$C:$C,'[1]All Data'!$H:$H)</f>
        <v>165320</v>
      </c>
      <c r="N4" s="108"/>
      <c r="O4" s="108">
        <f t="shared" si="0"/>
        <v>0</v>
      </c>
    </row>
    <row r="5" ht="45" customHeight="1" spans="1:15">
      <c r="A5" s="311" t="s">
        <v>561</v>
      </c>
      <c r="B5" s="72" t="s">
        <v>32</v>
      </c>
      <c r="C5" s="72" t="s">
        <v>568</v>
      </c>
      <c r="D5" s="76" t="s">
        <v>569</v>
      </c>
      <c r="E5" s="72" t="s">
        <v>284</v>
      </c>
      <c r="F5" s="74">
        <v>2</v>
      </c>
      <c r="G5" s="72" t="s">
        <v>65</v>
      </c>
      <c r="H5" s="205">
        <v>173380</v>
      </c>
      <c r="I5" s="100"/>
      <c r="J5" s="72"/>
      <c r="K5" s="310"/>
      <c r="L5" s="307"/>
      <c r="M5" s="108">
        <f>_xlfn.XLOOKUP(C:C,'[1]All Data'!$C:$C,'[1]All Data'!$H:$H)</f>
        <v>173380</v>
      </c>
      <c r="N5" s="108"/>
      <c r="O5" s="108">
        <f t="shared" si="0"/>
        <v>0</v>
      </c>
    </row>
    <row r="6" ht="45" customHeight="1" spans="1:15">
      <c r="A6" s="311" t="s">
        <v>561</v>
      </c>
      <c r="B6" s="72" t="s">
        <v>32</v>
      </c>
      <c r="C6" s="72" t="s">
        <v>570</v>
      </c>
      <c r="D6" s="76" t="s">
        <v>571</v>
      </c>
      <c r="E6" s="72" t="s">
        <v>284</v>
      </c>
      <c r="F6" s="74">
        <v>2</v>
      </c>
      <c r="G6" s="72" t="s">
        <v>65</v>
      </c>
      <c r="H6" s="205">
        <v>284760</v>
      </c>
      <c r="I6" s="100"/>
      <c r="J6" s="72"/>
      <c r="K6" s="310"/>
      <c r="L6" s="307"/>
      <c r="M6" s="108">
        <f>_xlfn.XLOOKUP(C:C,'[1]All Data'!$C:$C,'[1]All Data'!$H:$H)</f>
        <v>284760</v>
      </c>
      <c r="N6" s="108"/>
      <c r="O6" s="108">
        <f t="shared" si="0"/>
        <v>0</v>
      </c>
    </row>
    <row r="7" ht="45" customHeight="1" spans="1:15">
      <c r="A7" s="311" t="s">
        <v>561</v>
      </c>
      <c r="B7" s="72" t="s">
        <v>32</v>
      </c>
      <c r="C7" s="72" t="s">
        <v>572</v>
      </c>
      <c r="D7" s="76" t="s">
        <v>573</v>
      </c>
      <c r="E7" s="72" t="s">
        <v>284</v>
      </c>
      <c r="F7" s="74">
        <v>2</v>
      </c>
      <c r="G7" s="72" t="s">
        <v>65</v>
      </c>
      <c r="H7" s="205">
        <v>293380</v>
      </c>
      <c r="I7" s="100"/>
      <c r="J7" s="72"/>
      <c r="K7" s="310"/>
      <c r="L7" s="307"/>
      <c r="M7" s="108">
        <f>_xlfn.XLOOKUP(C:C,'[1]All Data'!$C:$C,'[1]All Data'!$H:$H)</f>
        <v>293380</v>
      </c>
      <c r="N7" s="108"/>
      <c r="O7" s="108">
        <f t="shared" si="0"/>
        <v>0</v>
      </c>
    </row>
    <row r="8" ht="30" customHeight="1" spans="1:15">
      <c r="A8" s="72" t="s">
        <v>574</v>
      </c>
      <c r="B8" s="72" t="s">
        <v>25</v>
      </c>
      <c r="C8" s="72" t="s">
        <v>575</v>
      </c>
      <c r="D8" s="73" t="s">
        <v>576</v>
      </c>
      <c r="E8" s="72" t="s">
        <v>284</v>
      </c>
      <c r="F8" s="74">
        <v>2</v>
      </c>
      <c r="G8" s="72" t="s">
        <v>65</v>
      </c>
      <c r="H8" s="205">
        <v>25020</v>
      </c>
      <c r="I8" s="100"/>
      <c r="J8" s="72"/>
      <c r="K8" s="310"/>
      <c r="L8" s="307"/>
      <c r="M8" s="108">
        <f>_xlfn.XLOOKUP(C:C,'[1]All Data'!$C:$C,'[1]All Data'!$H:$H)</f>
        <v>25020</v>
      </c>
      <c r="N8" s="108"/>
      <c r="O8" s="108">
        <f t="shared" si="0"/>
        <v>0</v>
      </c>
    </row>
    <row r="9" ht="15" customHeight="1" spans="1:15">
      <c r="A9" s="72" t="s">
        <v>574</v>
      </c>
      <c r="B9" s="72" t="s">
        <v>25</v>
      </c>
      <c r="C9" s="72" t="s">
        <v>577</v>
      </c>
      <c r="D9" s="73" t="s">
        <v>578</v>
      </c>
      <c r="E9" s="72" t="s">
        <v>284</v>
      </c>
      <c r="F9" s="74">
        <v>2</v>
      </c>
      <c r="G9" s="72" t="s">
        <v>65</v>
      </c>
      <c r="H9" s="205">
        <v>32120</v>
      </c>
      <c r="I9" s="100"/>
      <c r="J9" s="72"/>
      <c r="K9" s="310"/>
      <c r="L9" s="307"/>
      <c r="M9" s="108">
        <f>_xlfn.XLOOKUP(C:C,'[1]All Data'!$C:$C,'[1]All Data'!$H:$H)</f>
        <v>32120</v>
      </c>
      <c r="N9" s="108"/>
      <c r="O9" s="108">
        <f t="shared" si="0"/>
        <v>0</v>
      </c>
    </row>
    <row r="10" ht="15" customHeight="1" spans="1:15">
      <c r="A10" s="311" t="s">
        <v>579</v>
      </c>
      <c r="B10" s="72" t="s">
        <v>48</v>
      </c>
      <c r="C10" s="99" t="s">
        <v>580</v>
      </c>
      <c r="D10" s="73" t="s">
        <v>581</v>
      </c>
      <c r="E10" s="72" t="s">
        <v>284</v>
      </c>
      <c r="F10" s="74">
        <v>0</v>
      </c>
      <c r="G10" s="72" t="s">
        <v>69</v>
      </c>
      <c r="H10" s="205">
        <v>14200</v>
      </c>
      <c r="I10" s="100"/>
      <c r="J10" s="114"/>
      <c r="K10" s="310"/>
      <c r="L10" s="307"/>
      <c r="M10" s="108">
        <f>_xlfn.XLOOKUP(C:C,'[1]All Data'!$C:$C,'[1]All Data'!$H:$H)</f>
        <v>14200</v>
      </c>
      <c r="N10" s="108"/>
      <c r="O10" s="108">
        <f t="shared" si="0"/>
        <v>0</v>
      </c>
    </row>
    <row r="11" ht="15" customHeight="1" spans="1:15">
      <c r="A11" s="311" t="s">
        <v>579</v>
      </c>
      <c r="B11" s="72" t="s">
        <v>48</v>
      </c>
      <c r="C11" s="72" t="s">
        <v>582</v>
      </c>
      <c r="D11" s="73" t="s">
        <v>583</v>
      </c>
      <c r="E11" s="72" t="s">
        <v>284</v>
      </c>
      <c r="F11" s="74">
        <v>0</v>
      </c>
      <c r="G11" s="72" t="s">
        <v>69</v>
      </c>
      <c r="H11" s="205">
        <v>16380</v>
      </c>
      <c r="I11" s="100"/>
      <c r="J11" s="114"/>
      <c r="K11" s="310"/>
      <c r="L11" s="307"/>
      <c r="M11" s="108">
        <f>_xlfn.XLOOKUP(C:C,'[1]All Data'!$C:$C,'[1]All Data'!$H:$H)</f>
        <v>16380</v>
      </c>
      <c r="N11" s="108"/>
      <c r="O11" s="108">
        <f t="shared" si="0"/>
        <v>0</v>
      </c>
    </row>
    <row r="12" ht="15" customHeight="1" spans="1:15">
      <c r="A12" s="311" t="s">
        <v>579</v>
      </c>
      <c r="B12" s="120" t="s">
        <v>48</v>
      </c>
      <c r="C12" s="72" t="s">
        <v>584</v>
      </c>
      <c r="D12" s="76" t="s">
        <v>585</v>
      </c>
      <c r="E12" s="72" t="s">
        <v>284</v>
      </c>
      <c r="F12" s="74">
        <v>0</v>
      </c>
      <c r="G12" s="72" t="s">
        <v>69</v>
      </c>
      <c r="H12" s="205">
        <v>12020</v>
      </c>
      <c r="I12" s="100"/>
      <c r="J12" s="114"/>
      <c r="K12" s="310"/>
      <c r="L12" s="307"/>
      <c r="M12" s="108">
        <f>_xlfn.XLOOKUP(C:C,'[1]All Data'!$C:$C,'[1]All Data'!$H:$H)</f>
        <v>12020</v>
      </c>
      <c r="N12" s="108"/>
      <c r="O12" s="108">
        <f t="shared" si="0"/>
        <v>0</v>
      </c>
    </row>
    <row r="13" ht="15" customHeight="1" spans="1:15">
      <c r="A13" s="311" t="s">
        <v>579</v>
      </c>
      <c r="B13" s="72" t="s">
        <v>22</v>
      </c>
      <c r="C13" s="72" t="s">
        <v>586</v>
      </c>
      <c r="D13" s="73" t="s">
        <v>587</v>
      </c>
      <c r="E13" s="72" t="s">
        <v>284</v>
      </c>
      <c r="F13" s="74">
        <v>0</v>
      </c>
      <c r="G13" s="72" t="s">
        <v>69</v>
      </c>
      <c r="H13" s="205">
        <v>8740</v>
      </c>
      <c r="I13" s="100"/>
      <c r="J13" s="72"/>
      <c r="K13" s="310"/>
      <c r="L13" s="307"/>
      <c r="M13" s="108">
        <f>_xlfn.XLOOKUP(C:C,'[1]All Data'!$C:$C,'[1]All Data'!$H:$H)</f>
        <v>8740</v>
      </c>
      <c r="N13" s="108"/>
      <c r="O13" s="108">
        <f t="shared" si="0"/>
        <v>0</v>
      </c>
    </row>
    <row r="14" ht="15" customHeight="1" spans="1:15">
      <c r="A14" s="311" t="s">
        <v>588</v>
      </c>
      <c r="B14" s="120" t="s">
        <v>22</v>
      </c>
      <c r="C14" s="72" t="s">
        <v>589</v>
      </c>
      <c r="D14" s="76" t="s">
        <v>590</v>
      </c>
      <c r="E14" s="72" t="s">
        <v>284</v>
      </c>
      <c r="F14" s="74">
        <v>0</v>
      </c>
      <c r="G14" s="72" t="s">
        <v>69</v>
      </c>
      <c r="H14" s="72">
        <v>7880</v>
      </c>
      <c r="I14" s="100"/>
      <c r="J14" s="114"/>
      <c r="K14" s="310"/>
      <c r="L14" s="307"/>
      <c r="M14" s="108">
        <f>_xlfn.XLOOKUP(C:C,'[1]All Data'!$C:$C,'[1]All Data'!$H:$H)</f>
        <v>7880</v>
      </c>
      <c r="N14" s="108"/>
      <c r="O14" s="108">
        <f t="shared" si="0"/>
        <v>0</v>
      </c>
    </row>
    <row r="15" ht="15" customHeight="1" spans="1:15">
      <c r="A15" s="311" t="s">
        <v>579</v>
      </c>
      <c r="B15" s="72" t="s">
        <v>22</v>
      </c>
      <c r="C15" s="72" t="s">
        <v>591</v>
      </c>
      <c r="D15" s="312" t="s">
        <v>592</v>
      </c>
      <c r="E15" s="72" t="s">
        <v>284</v>
      </c>
      <c r="F15" s="74">
        <v>0</v>
      </c>
      <c r="G15" s="72" t="s">
        <v>69</v>
      </c>
      <c r="H15" s="205">
        <v>1440</v>
      </c>
      <c r="I15" s="100"/>
      <c r="J15" s="72"/>
      <c r="K15" s="310"/>
      <c r="L15" s="307"/>
      <c r="M15" s="108">
        <f>_xlfn.XLOOKUP(C:C,'[1]All Data'!$C:$C,'[1]All Data'!$H:$H)</f>
        <v>1440</v>
      </c>
      <c r="N15" s="108"/>
      <c r="O15" s="108">
        <f t="shared" si="0"/>
        <v>0</v>
      </c>
    </row>
    <row r="16" s="216" customFormat="1" ht="16" customHeight="1" spans="1:15">
      <c r="A16" s="311" t="s">
        <v>579</v>
      </c>
      <c r="B16" s="72" t="s">
        <v>22</v>
      </c>
      <c r="C16" s="304" t="s">
        <v>593</v>
      </c>
      <c r="D16" s="312" t="s">
        <v>594</v>
      </c>
      <c r="E16" s="72" t="s">
        <v>284</v>
      </c>
      <c r="F16" s="74">
        <v>0</v>
      </c>
      <c r="G16" s="72" t="s">
        <v>65</v>
      </c>
      <c r="H16" s="205">
        <v>2080</v>
      </c>
      <c r="I16" s="225"/>
      <c r="J16" s="114"/>
      <c r="K16" s="225"/>
      <c r="M16" s="108">
        <f>_xlfn.XLOOKUP(C:C,'[1]All Data'!$C:$C,'[1]All Data'!$H:$H)</f>
        <v>2080</v>
      </c>
      <c r="N16" s="108"/>
      <c r="O16" s="108">
        <f t="shared" si="0"/>
        <v>0</v>
      </c>
    </row>
    <row r="17" ht="15" customHeight="1" spans="1:15">
      <c r="A17" s="311" t="s">
        <v>579</v>
      </c>
      <c r="B17" s="72" t="s">
        <v>22</v>
      </c>
      <c r="C17" s="72" t="s">
        <v>595</v>
      </c>
      <c r="D17" s="313" t="s">
        <v>596</v>
      </c>
      <c r="E17" s="72" t="s">
        <v>284</v>
      </c>
      <c r="F17" s="74">
        <v>0</v>
      </c>
      <c r="G17" s="72" t="s">
        <v>597</v>
      </c>
      <c r="H17" s="205">
        <v>7000</v>
      </c>
      <c r="I17" s="100"/>
      <c r="J17" s="72"/>
      <c r="K17" s="310"/>
      <c r="L17" s="307"/>
      <c r="M17" s="108">
        <f>_xlfn.XLOOKUP(C:C,'[1]All Data'!$C:$C,'[1]All Data'!$H:$H)</f>
        <v>7000</v>
      </c>
      <c r="N17" s="108"/>
      <c r="O17" s="108">
        <f t="shared" si="0"/>
        <v>0</v>
      </c>
    </row>
    <row r="18" ht="15" customHeight="1" spans="1:15">
      <c r="A18" s="311" t="s">
        <v>579</v>
      </c>
      <c r="B18" s="72" t="s">
        <v>22</v>
      </c>
      <c r="C18" s="72" t="s">
        <v>598</v>
      </c>
      <c r="D18" s="73" t="s">
        <v>599</v>
      </c>
      <c r="E18" s="72" t="s">
        <v>284</v>
      </c>
      <c r="F18" s="74">
        <v>0</v>
      </c>
      <c r="G18" s="72" t="s">
        <v>69</v>
      </c>
      <c r="H18" s="205">
        <v>7000</v>
      </c>
      <c r="I18" s="100"/>
      <c r="J18" s="72"/>
      <c r="K18" s="310"/>
      <c r="L18" s="307"/>
      <c r="M18" s="108">
        <f>_xlfn.XLOOKUP(C:C,'[1]All Data'!$C:$C,'[1]All Data'!$H:$H)</f>
        <v>7000</v>
      </c>
      <c r="N18" s="108"/>
      <c r="O18" s="108">
        <f t="shared" si="0"/>
        <v>0</v>
      </c>
    </row>
    <row r="19" ht="30" customHeight="1" spans="1:15">
      <c r="A19" s="311" t="s">
        <v>600</v>
      </c>
      <c r="B19" s="72" t="s">
        <v>22</v>
      </c>
      <c r="C19" s="72" t="s">
        <v>601</v>
      </c>
      <c r="D19" s="73" t="s">
        <v>602</v>
      </c>
      <c r="E19" s="72" t="s">
        <v>444</v>
      </c>
      <c r="F19" s="74">
        <v>1</v>
      </c>
      <c r="G19" s="72" t="s">
        <v>69</v>
      </c>
      <c r="H19" s="205">
        <v>8680</v>
      </c>
      <c r="I19" s="100"/>
      <c r="J19" s="72"/>
      <c r="K19" s="310"/>
      <c r="L19" s="307"/>
      <c r="M19" s="108">
        <f>_xlfn.XLOOKUP(C:C,'[1]All Data'!$C:$C,'[1]All Data'!$H:$H)</f>
        <v>8680</v>
      </c>
      <c r="N19" s="108"/>
      <c r="O19" s="108">
        <f t="shared" si="0"/>
        <v>0</v>
      </c>
    </row>
    <row r="20" ht="30" customHeight="1" spans="1:15">
      <c r="A20" s="311" t="s">
        <v>600</v>
      </c>
      <c r="B20" s="72" t="s">
        <v>22</v>
      </c>
      <c r="C20" s="72" t="s">
        <v>603</v>
      </c>
      <c r="D20" s="73" t="s">
        <v>604</v>
      </c>
      <c r="E20" s="72" t="s">
        <v>444</v>
      </c>
      <c r="F20" s="74">
        <v>1</v>
      </c>
      <c r="G20" s="72" t="s">
        <v>69</v>
      </c>
      <c r="H20" s="205">
        <v>11200</v>
      </c>
      <c r="I20" s="100"/>
      <c r="J20" s="72"/>
      <c r="K20" s="310"/>
      <c r="L20" s="307"/>
      <c r="M20" s="108">
        <f>_xlfn.XLOOKUP(C:C,'[1]All Data'!$C:$C,'[1]All Data'!$H:$H)</f>
        <v>11200</v>
      </c>
      <c r="N20" s="108"/>
      <c r="O20" s="108">
        <f t="shared" si="0"/>
        <v>0</v>
      </c>
    </row>
    <row r="21" ht="30" customHeight="1" spans="1:15">
      <c r="A21" s="72" t="s">
        <v>605</v>
      </c>
      <c r="B21" s="72" t="s">
        <v>49</v>
      </c>
      <c r="C21" s="72" t="s">
        <v>606</v>
      </c>
      <c r="D21" s="73" t="s">
        <v>607</v>
      </c>
      <c r="E21" s="72" t="s">
        <v>132</v>
      </c>
      <c r="F21" s="74">
        <v>1</v>
      </c>
      <c r="G21" s="72" t="s">
        <v>65</v>
      </c>
      <c r="H21" s="72">
        <v>187</v>
      </c>
      <c r="I21" s="100"/>
      <c r="J21" s="72"/>
      <c r="K21" s="96"/>
      <c r="L21" s="307"/>
      <c r="M21" s="108">
        <f>_xlfn.XLOOKUP(C:C,'[1]All Data'!$C:$C,'[1]All Data'!$H:$H)</f>
        <v>187</v>
      </c>
      <c r="N21" s="108"/>
      <c r="O21" s="108">
        <f t="shared" si="0"/>
        <v>0</v>
      </c>
    </row>
    <row r="22" ht="15" customHeight="1" spans="1:15">
      <c r="A22" s="72" t="s">
        <v>605</v>
      </c>
      <c r="B22" s="72" t="s">
        <v>49</v>
      </c>
      <c r="C22" s="72" t="s">
        <v>608</v>
      </c>
      <c r="D22" s="73" t="s">
        <v>609</v>
      </c>
      <c r="E22" s="74" t="s">
        <v>132</v>
      </c>
      <c r="F22" s="74">
        <v>0</v>
      </c>
      <c r="G22" s="74" t="s">
        <v>69</v>
      </c>
      <c r="H22" s="72">
        <v>2240</v>
      </c>
      <c r="I22" s="100"/>
      <c r="J22" s="314"/>
      <c r="K22" s="96"/>
      <c r="L22" s="307"/>
      <c r="M22" s="108">
        <f>_xlfn.XLOOKUP(C:C,'[1]All Data'!$C:$C,'[1]All Data'!$H:$H)</f>
        <v>2240</v>
      </c>
      <c r="N22" s="108"/>
      <c r="O22" s="108">
        <f t="shared" si="0"/>
        <v>0</v>
      </c>
    </row>
    <row r="23" ht="30" customHeight="1" spans="1:15">
      <c r="A23" s="72" t="s">
        <v>605</v>
      </c>
      <c r="B23" s="72" t="s">
        <v>49</v>
      </c>
      <c r="C23" s="72" t="s">
        <v>610</v>
      </c>
      <c r="D23" s="73" t="s">
        <v>611</v>
      </c>
      <c r="E23" s="74" t="s">
        <v>132</v>
      </c>
      <c r="F23" s="74">
        <v>0</v>
      </c>
      <c r="G23" s="74" t="s">
        <v>69</v>
      </c>
      <c r="H23" s="72">
        <v>4228</v>
      </c>
      <c r="I23" s="100"/>
      <c r="J23" s="314"/>
      <c r="K23" s="74"/>
      <c r="L23" s="307"/>
      <c r="M23" s="108">
        <f>_xlfn.XLOOKUP(C:C,'[1]All Data'!$C:$C,'[1]All Data'!$H:$H)</f>
        <v>4228</v>
      </c>
      <c r="N23" s="108"/>
      <c r="O23" s="108">
        <f t="shared" si="0"/>
        <v>0</v>
      </c>
    </row>
    <row r="24" ht="30" customHeight="1" spans="1:15">
      <c r="A24" s="72" t="s">
        <v>605</v>
      </c>
      <c r="B24" s="72" t="s">
        <v>49</v>
      </c>
      <c r="C24" s="72" t="s">
        <v>612</v>
      </c>
      <c r="D24" s="73" t="s">
        <v>613</v>
      </c>
      <c r="E24" s="72" t="s">
        <v>132</v>
      </c>
      <c r="F24" s="74">
        <v>0</v>
      </c>
      <c r="G24" s="72" t="s">
        <v>69</v>
      </c>
      <c r="H24" s="72">
        <v>6132</v>
      </c>
      <c r="I24" s="100"/>
      <c r="J24" s="72"/>
      <c r="K24" s="96"/>
      <c r="L24" s="307"/>
      <c r="M24" s="108">
        <f>_xlfn.XLOOKUP(C:C,'[1]All Data'!$C:$C,'[1]All Data'!$H:$H)</f>
        <v>6132</v>
      </c>
      <c r="N24" s="108"/>
      <c r="O24" s="108">
        <f t="shared" si="0"/>
        <v>0</v>
      </c>
    </row>
    <row r="25" ht="30" customHeight="1" spans="1:15">
      <c r="A25" s="72" t="s">
        <v>605</v>
      </c>
      <c r="B25" s="72" t="s">
        <v>49</v>
      </c>
      <c r="C25" s="72" t="s">
        <v>614</v>
      </c>
      <c r="D25" s="73" t="s">
        <v>615</v>
      </c>
      <c r="E25" s="72" t="s">
        <v>132</v>
      </c>
      <c r="F25" s="74">
        <v>0</v>
      </c>
      <c r="G25" s="72" t="s">
        <v>69</v>
      </c>
      <c r="H25" s="72">
        <v>9548</v>
      </c>
      <c r="I25" s="100"/>
      <c r="J25" s="72"/>
      <c r="K25" s="96"/>
      <c r="L25" s="307"/>
      <c r="M25" s="108">
        <f>_xlfn.XLOOKUP(C:C,'[1]All Data'!$C:$C,'[1]All Data'!$H:$H)</f>
        <v>9548</v>
      </c>
      <c r="N25" s="108"/>
      <c r="O25" s="108">
        <f t="shared" si="0"/>
        <v>0</v>
      </c>
    </row>
    <row r="26" ht="30" customHeight="1" spans="1:15">
      <c r="A26" s="72" t="s">
        <v>605</v>
      </c>
      <c r="B26" s="72" t="s">
        <v>49</v>
      </c>
      <c r="C26" s="72" t="s">
        <v>616</v>
      </c>
      <c r="D26" s="284" t="s">
        <v>617</v>
      </c>
      <c r="E26" s="74" t="s">
        <v>132</v>
      </c>
      <c r="F26" s="74">
        <v>0</v>
      </c>
      <c r="G26" s="74" t="s">
        <v>69</v>
      </c>
      <c r="H26" s="72" t="s">
        <v>143</v>
      </c>
      <c r="I26" s="238"/>
      <c r="J26" s="314"/>
      <c r="K26" s="74"/>
      <c r="L26" s="307"/>
      <c r="M26" s="108" t="str">
        <f>_xlfn.XLOOKUP(C:C,'[1]All Data'!$C:$C,'[1]All Data'!$H:$H)</f>
        <v>Per Quote</v>
      </c>
      <c r="N26" s="108"/>
      <c r="O26" s="108" t="e">
        <f t="shared" si="0"/>
        <v>#VALUE!</v>
      </c>
    </row>
    <row r="27" ht="30" customHeight="1" spans="1:15">
      <c r="A27" s="72" t="s">
        <v>605</v>
      </c>
      <c r="B27" s="72" t="s">
        <v>49</v>
      </c>
      <c r="C27" s="72" t="s">
        <v>618</v>
      </c>
      <c r="D27" s="284" t="s">
        <v>619</v>
      </c>
      <c r="E27" s="74" t="s">
        <v>132</v>
      </c>
      <c r="F27" s="74">
        <v>0</v>
      </c>
      <c r="G27" s="74" t="s">
        <v>69</v>
      </c>
      <c r="H27" s="72" t="s">
        <v>143</v>
      </c>
      <c r="I27" s="238"/>
      <c r="J27" s="314"/>
      <c r="K27" s="74"/>
      <c r="L27" s="307"/>
      <c r="M27" s="108" t="str">
        <f>_xlfn.XLOOKUP(C:C,'[1]All Data'!$C:$C,'[1]All Data'!$H:$H)</f>
        <v>Per Quote</v>
      </c>
      <c r="N27" s="108"/>
      <c r="O27" s="108" t="e">
        <f t="shared" si="0"/>
        <v>#VALUE!</v>
      </c>
    </row>
    <row r="28" ht="30" customHeight="1" spans="1:15">
      <c r="A28" s="72" t="s">
        <v>605</v>
      </c>
      <c r="B28" s="72" t="s">
        <v>49</v>
      </c>
      <c r="C28" s="72" t="s">
        <v>620</v>
      </c>
      <c r="D28" s="73" t="s">
        <v>621</v>
      </c>
      <c r="E28" s="72" t="s">
        <v>132</v>
      </c>
      <c r="F28" s="74">
        <v>1</v>
      </c>
      <c r="G28" s="72" t="s">
        <v>65</v>
      </c>
      <c r="H28" s="72">
        <v>372.26</v>
      </c>
      <c r="I28" s="100"/>
      <c r="J28" s="72"/>
      <c r="K28" s="96"/>
      <c r="L28" s="307"/>
      <c r="M28" s="108">
        <f>_xlfn.XLOOKUP(C:C,'[1]All Data'!$C:$C,'[1]All Data'!$H:$H)</f>
        <v>372.26</v>
      </c>
      <c r="N28" s="108"/>
      <c r="O28" s="108">
        <f t="shared" si="0"/>
        <v>0</v>
      </c>
    </row>
    <row r="29" ht="30" customHeight="1" spans="1:15">
      <c r="A29" s="72" t="s">
        <v>605</v>
      </c>
      <c r="B29" s="72" t="s">
        <v>49</v>
      </c>
      <c r="C29" s="72" t="s">
        <v>622</v>
      </c>
      <c r="D29" s="73" t="s">
        <v>623</v>
      </c>
      <c r="E29" s="72" t="s">
        <v>132</v>
      </c>
      <c r="F29" s="74">
        <v>0</v>
      </c>
      <c r="G29" s="72" t="s">
        <v>69</v>
      </c>
      <c r="H29" s="72">
        <v>5404</v>
      </c>
      <c r="I29" s="100"/>
      <c r="J29" s="72"/>
      <c r="K29" s="96"/>
      <c r="L29" s="307"/>
      <c r="M29" s="108">
        <f>_xlfn.XLOOKUP(C:C,'[1]All Data'!$C:$C,'[1]All Data'!$H:$H)</f>
        <v>5404</v>
      </c>
      <c r="N29" s="108"/>
      <c r="O29" s="108">
        <f t="shared" si="0"/>
        <v>0</v>
      </c>
    </row>
    <row r="30" ht="30" customHeight="1" spans="1:15">
      <c r="A30" s="72" t="s">
        <v>605</v>
      </c>
      <c r="B30" s="72" t="s">
        <v>49</v>
      </c>
      <c r="C30" s="72" t="s">
        <v>624</v>
      </c>
      <c r="D30" s="73" t="s">
        <v>625</v>
      </c>
      <c r="E30" s="74" t="s">
        <v>132</v>
      </c>
      <c r="F30" s="74">
        <v>0</v>
      </c>
      <c r="G30" s="74" t="s">
        <v>69</v>
      </c>
      <c r="H30" s="72">
        <v>8400</v>
      </c>
      <c r="I30" s="100"/>
      <c r="J30" s="314"/>
      <c r="K30" s="74"/>
      <c r="L30" s="307"/>
      <c r="M30" s="108">
        <f>_xlfn.XLOOKUP(C:C,'[1]All Data'!$C:$C,'[1]All Data'!$H:$H)</f>
        <v>8400</v>
      </c>
      <c r="N30" s="108"/>
      <c r="O30" s="108">
        <f t="shared" si="0"/>
        <v>0</v>
      </c>
    </row>
    <row r="31" ht="30" customHeight="1" spans="1:15">
      <c r="A31" s="72" t="s">
        <v>605</v>
      </c>
      <c r="B31" s="72" t="s">
        <v>49</v>
      </c>
      <c r="C31" s="72" t="s">
        <v>626</v>
      </c>
      <c r="D31" s="73" t="s">
        <v>627</v>
      </c>
      <c r="E31" s="72" t="s">
        <v>132</v>
      </c>
      <c r="F31" s="74">
        <v>0</v>
      </c>
      <c r="G31" s="72" t="s">
        <v>69</v>
      </c>
      <c r="H31" s="72">
        <v>12194</v>
      </c>
      <c r="I31" s="100"/>
      <c r="J31" s="72"/>
      <c r="K31" s="96"/>
      <c r="L31" s="307"/>
      <c r="M31" s="108">
        <f>_xlfn.XLOOKUP(C:C,'[1]All Data'!$C:$C,'[1]All Data'!$H:$H)</f>
        <v>12194</v>
      </c>
      <c r="N31" s="108"/>
      <c r="O31" s="108">
        <f t="shared" si="0"/>
        <v>0</v>
      </c>
    </row>
    <row r="32" ht="30" customHeight="1" spans="1:15">
      <c r="A32" s="72" t="s">
        <v>605</v>
      </c>
      <c r="B32" s="72" t="s">
        <v>49</v>
      </c>
      <c r="C32" s="72" t="s">
        <v>628</v>
      </c>
      <c r="D32" s="73" t="s">
        <v>629</v>
      </c>
      <c r="E32" s="72" t="s">
        <v>132</v>
      </c>
      <c r="F32" s="74">
        <v>0</v>
      </c>
      <c r="G32" s="72" t="s">
        <v>69</v>
      </c>
      <c r="H32" s="72">
        <v>18984</v>
      </c>
      <c r="I32" s="100"/>
      <c r="J32" s="72"/>
      <c r="K32" s="96"/>
      <c r="L32" s="307"/>
      <c r="M32" s="108">
        <f>_xlfn.XLOOKUP(C:C,'[1]All Data'!$C:$C,'[1]All Data'!$H:$H)</f>
        <v>18984</v>
      </c>
      <c r="N32" s="108"/>
      <c r="O32" s="108">
        <f t="shared" si="0"/>
        <v>0</v>
      </c>
    </row>
    <row r="33" ht="30" customHeight="1" spans="1:15">
      <c r="A33" s="72" t="s">
        <v>605</v>
      </c>
      <c r="B33" s="72" t="s">
        <v>49</v>
      </c>
      <c r="C33" s="72" t="s">
        <v>630</v>
      </c>
      <c r="D33" s="284" t="s">
        <v>631</v>
      </c>
      <c r="E33" s="74" t="s">
        <v>132</v>
      </c>
      <c r="F33" s="74">
        <v>0</v>
      </c>
      <c r="G33" s="74" t="s">
        <v>69</v>
      </c>
      <c r="H33" s="72" t="s">
        <v>143</v>
      </c>
      <c r="I33" s="238"/>
      <c r="J33" s="314"/>
      <c r="K33" s="74"/>
      <c r="M33" s="108" t="str">
        <f>_xlfn.XLOOKUP(C:C,'[1]All Data'!$C:$C,'[1]All Data'!$H:$H)</f>
        <v>Per Quote</v>
      </c>
      <c r="N33" s="108"/>
      <c r="O33" s="108" t="e">
        <f t="shared" si="0"/>
        <v>#VALUE!</v>
      </c>
    </row>
    <row r="34" ht="30" customHeight="1" spans="1:15">
      <c r="A34" s="72" t="s">
        <v>605</v>
      </c>
      <c r="B34" s="72" t="s">
        <v>49</v>
      </c>
      <c r="C34" s="72" t="s">
        <v>632</v>
      </c>
      <c r="D34" s="284" t="s">
        <v>633</v>
      </c>
      <c r="E34" s="74" t="s">
        <v>132</v>
      </c>
      <c r="F34" s="74">
        <v>0</v>
      </c>
      <c r="G34" s="74" t="s">
        <v>69</v>
      </c>
      <c r="H34" s="72" t="s">
        <v>143</v>
      </c>
      <c r="I34" s="238"/>
      <c r="J34" s="314"/>
      <c r="K34" s="74"/>
      <c r="L34" s="307"/>
      <c r="M34" s="108" t="str">
        <f>_xlfn.XLOOKUP(C:C,'[1]All Data'!$C:$C,'[1]All Data'!$H:$H)</f>
        <v>Per Quote</v>
      </c>
      <c r="N34" s="108"/>
      <c r="O34" s="108" t="e">
        <f t="shared" si="0"/>
        <v>#VALUE!</v>
      </c>
    </row>
    <row r="35" spans="1:15">
      <c r="L35" s="307"/>
      <c r="M35" s="307"/>
    </row>
    <row r="36" spans="1:15">
      <c r="A36" s="63"/>
      <c r="B36" s="63"/>
      <c r="C36" s="63"/>
      <c r="D36" s="63"/>
      <c r="E36" s="63"/>
      <c r="F36" s="63"/>
      <c r="G36" s="63"/>
      <c r="H36" s="63"/>
      <c r="I36" s="63"/>
      <c r="J36" s="63"/>
      <c r="L36" s="307"/>
      <c r="M36" s="307"/>
    </row>
    <row r="37" spans="1:15">
      <c r="A37" s="63"/>
      <c r="B37" s="63"/>
      <c r="C37" s="63"/>
      <c r="D37" s="63"/>
      <c r="E37" s="63"/>
      <c r="F37" s="63"/>
      <c r="G37" s="63"/>
      <c r="H37" s="63"/>
      <c r="I37" s="63"/>
      <c r="J37" s="63"/>
      <c r="L37" s="307"/>
      <c r="M37" s="307"/>
    </row>
    <row r="38" spans="1:15">
      <c r="A38" s="63"/>
      <c r="B38" s="63"/>
      <c r="C38" s="63"/>
      <c r="D38" s="63"/>
      <c r="E38" s="63"/>
      <c r="F38" s="63"/>
      <c r="G38" s="63"/>
      <c r="H38" s="63"/>
      <c r="I38" s="63"/>
      <c r="J38" s="63"/>
      <c r="L38" s="307"/>
      <c r="M38" s="307"/>
    </row>
    <row r="39" spans="1:15">
      <c r="A39" s="63"/>
      <c r="B39" s="63"/>
      <c r="C39" s="63"/>
      <c r="D39" s="63"/>
      <c r="E39" s="63"/>
      <c r="F39" s="63"/>
      <c r="G39" s="63"/>
      <c r="H39" s="63"/>
      <c r="I39" s="63"/>
      <c r="J39" s="63"/>
      <c r="L39" s="307"/>
      <c r="M39" s="307"/>
    </row>
    <row r="40" spans="1:15">
      <c r="A40" s="63"/>
      <c r="B40" s="63"/>
      <c r="C40" s="63"/>
      <c r="D40" s="63"/>
      <c r="E40" s="63"/>
      <c r="F40" s="63"/>
      <c r="G40" s="63"/>
      <c r="H40" s="63"/>
      <c r="I40" s="63"/>
      <c r="J40" s="63"/>
      <c r="L40" s="307"/>
      <c r="M40" s="307"/>
    </row>
    <row r="41" spans="1:15">
      <c r="A41" s="63"/>
      <c r="B41" s="63"/>
      <c r="C41" s="63"/>
      <c r="D41" s="63"/>
      <c r="E41" s="63"/>
      <c r="F41" s="63"/>
      <c r="G41" s="63"/>
      <c r="H41" s="63"/>
      <c r="I41" s="63"/>
      <c r="J41" s="63"/>
      <c r="L41" s="307"/>
      <c r="M41" s="307"/>
    </row>
    <row r="42" ht="14" customHeight="1" spans="1:15">
      <c r="B42" s="184"/>
      <c r="C42" s="184"/>
      <c r="D42" s="191"/>
      <c r="E42" s="184"/>
      <c r="F42" s="193"/>
      <c r="G42" s="184"/>
      <c r="H42" s="192"/>
      <c r="I42" s="315"/>
      <c r="J42" s="184"/>
      <c r="K42" s="307"/>
      <c r="L42" s="307"/>
      <c r="M42" s="307"/>
    </row>
    <row r="43" ht="14" customHeight="1" spans="1:15">
      <c r="B43" s="184"/>
      <c r="C43" s="184"/>
      <c r="D43" s="191"/>
      <c r="E43" s="184"/>
      <c r="F43" s="193"/>
      <c r="G43" s="184"/>
      <c r="H43" s="192"/>
      <c r="I43" s="315"/>
      <c r="J43" s="184"/>
      <c r="K43" s="307"/>
      <c r="L43" s="307"/>
      <c r="M43" s="307"/>
    </row>
    <row r="44" ht="14" customHeight="1" spans="1:15">
      <c r="B44" s="184"/>
      <c r="C44" s="184"/>
      <c r="D44" s="191"/>
      <c r="E44" s="184"/>
      <c r="F44" s="193"/>
      <c r="G44" s="184"/>
      <c r="H44" s="192"/>
      <c r="I44" s="315"/>
      <c r="J44" s="184"/>
      <c r="K44" s="307"/>
      <c r="L44" s="307"/>
      <c r="M44" s="307"/>
    </row>
    <row r="45" ht="14" customHeight="1" spans="1:15">
      <c r="B45" s="184"/>
      <c r="C45" s="184"/>
      <c r="D45" s="191"/>
      <c r="E45" s="184"/>
      <c r="F45" s="193"/>
      <c r="G45" s="184"/>
      <c r="H45" s="192"/>
      <c r="I45" s="315"/>
      <c r="J45" s="184"/>
      <c r="K45" s="307"/>
      <c r="L45" s="307"/>
      <c r="M45" s="307"/>
    </row>
    <row r="46" ht="14" customHeight="1" spans="1:15">
      <c r="B46" s="184"/>
      <c r="C46" s="184"/>
      <c r="E46" s="184"/>
      <c r="F46" s="193"/>
      <c r="G46" s="184"/>
      <c r="H46" s="192"/>
      <c r="I46" s="315"/>
      <c r="J46" s="184"/>
      <c r="K46" s="307"/>
      <c r="L46" s="307"/>
      <c r="M46" s="307"/>
    </row>
    <row r="47" ht="14" customHeight="1" spans="1:15">
      <c r="B47" s="184"/>
      <c r="C47" s="184"/>
      <c r="D47" s="191"/>
      <c r="E47" s="184"/>
      <c r="F47" s="193"/>
      <c r="G47" s="184"/>
      <c r="H47" s="192"/>
      <c r="I47" s="315"/>
      <c r="J47" s="184"/>
      <c r="K47" s="307"/>
      <c r="L47" s="307"/>
      <c r="M47" s="307"/>
    </row>
    <row r="48" ht="14" customHeight="1" spans="1:15">
      <c r="B48" s="184"/>
      <c r="C48" s="184"/>
      <c r="D48" s="191"/>
      <c r="E48" s="184"/>
      <c r="F48" s="193"/>
      <c r="G48" s="184"/>
      <c r="H48" s="192"/>
      <c r="I48" s="315"/>
      <c r="J48" s="184"/>
      <c r="K48" s="307"/>
      <c r="L48" s="307"/>
      <c r="M48" s="307"/>
    </row>
    <row r="49" ht="14" customHeight="1" spans="2:13">
      <c r="B49" s="184"/>
      <c r="C49" s="184"/>
      <c r="D49" s="191"/>
      <c r="E49" s="184"/>
      <c r="F49" s="193"/>
      <c r="G49" s="184"/>
      <c r="H49" s="192"/>
      <c r="I49" s="315"/>
      <c r="J49" s="184"/>
      <c r="K49" s="307"/>
      <c r="L49" s="307"/>
      <c r="M49" s="307"/>
    </row>
    <row r="50" ht="14" customHeight="1" spans="2:13">
      <c r="B50" s="184"/>
      <c r="C50" s="184"/>
      <c r="D50" s="191"/>
      <c r="E50" s="184"/>
      <c r="F50" s="193"/>
      <c r="G50" s="184"/>
      <c r="H50" s="192"/>
      <c r="I50" s="315"/>
      <c r="J50" s="184"/>
      <c r="K50" s="307"/>
      <c r="L50" s="307"/>
      <c r="M50" s="307"/>
    </row>
    <row r="51" ht="14" customHeight="1" spans="2:13">
      <c r="B51" s="184"/>
      <c r="C51" s="184"/>
      <c r="D51" s="191"/>
      <c r="E51" s="184"/>
      <c r="F51" s="193"/>
      <c r="G51" s="184"/>
      <c r="H51" s="192"/>
      <c r="I51" s="315"/>
      <c r="J51" s="184"/>
      <c r="K51" s="307"/>
      <c r="L51" s="307"/>
      <c r="M51" s="307"/>
    </row>
    <row r="52" ht="14" customHeight="1" spans="2:13">
      <c r="B52" s="184"/>
      <c r="C52" s="184"/>
      <c r="D52" s="191"/>
      <c r="E52" s="184"/>
      <c r="F52" s="193"/>
      <c r="G52" s="184"/>
      <c r="H52" s="192"/>
      <c r="I52" s="315"/>
      <c r="J52" s="184"/>
      <c r="K52" s="307"/>
      <c r="L52" s="307"/>
      <c r="M52" s="307"/>
    </row>
    <row r="53" ht="14" customHeight="1" spans="2:13">
      <c r="B53" s="184"/>
      <c r="C53" s="184"/>
      <c r="D53" s="191"/>
      <c r="E53" s="184"/>
      <c r="F53" s="193"/>
      <c r="G53" s="184"/>
      <c r="H53" s="192"/>
      <c r="I53" s="315"/>
      <c r="J53" s="184"/>
      <c r="K53" s="307"/>
      <c r="L53" s="307"/>
      <c r="M53" s="307"/>
    </row>
    <row r="54" ht="14" customHeight="1" spans="2:13">
      <c r="B54" s="184"/>
      <c r="C54" s="184"/>
      <c r="D54" s="191"/>
      <c r="E54" s="184"/>
      <c r="F54" s="193"/>
      <c r="G54" s="184"/>
      <c r="H54" s="192"/>
      <c r="I54" s="315"/>
      <c r="J54" s="184"/>
      <c r="K54" s="307"/>
      <c r="L54" s="307"/>
      <c r="M54" s="307"/>
    </row>
    <row r="55" ht="14" customHeight="1" spans="2:13">
      <c r="B55" s="184"/>
      <c r="C55" s="184"/>
      <c r="D55" s="191"/>
      <c r="E55" s="184"/>
      <c r="F55" s="193"/>
      <c r="G55" s="184"/>
      <c r="H55" s="192"/>
      <c r="I55" s="315"/>
      <c r="J55" s="184"/>
      <c r="K55" s="307"/>
      <c r="L55" s="307"/>
      <c r="M55" s="307"/>
    </row>
    <row r="56" ht="14" customHeight="1" spans="2:13">
      <c r="B56" s="184"/>
      <c r="C56" s="184"/>
      <c r="D56" s="191"/>
      <c r="E56" s="184"/>
      <c r="F56" s="193"/>
      <c r="G56" s="184"/>
      <c r="H56" s="192"/>
      <c r="I56" s="315"/>
      <c r="J56" s="184"/>
      <c r="K56" s="307"/>
      <c r="L56" s="307"/>
      <c r="M56" s="307"/>
    </row>
    <row r="57" ht="14" customHeight="1" spans="2:13">
      <c r="B57" s="184"/>
      <c r="C57" s="184"/>
      <c r="D57" s="191"/>
      <c r="E57" s="184"/>
      <c r="F57" s="193"/>
      <c r="G57" s="184"/>
      <c r="H57" s="192"/>
      <c r="I57" s="315"/>
      <c r="J57" s="184"/>
      <c r="K57" s="307"/>
      <c r="L57" s="307"/>
      <c r="M57" s="307"/>
    </row>
    <row r="58" ht="14" customHeight="1" spans="2:13">
      <c r="B58" s="184"/>
      <c r="C58" s="184"/>
      <c r="D58" s="191"/>
      <c r="E58" s="184"/>
      <c r="F58" s="193"/>
      <c r="G58" s="184"/>
      <c r="H58" s="192"/>
      <c r="I58" s="315"/>
      <c r="J58" s="184"/>
      <c r="K58" s="307"/>
      <c r="L58" s="307"/>
      <c r="M58" s="307"/>
    </row>
    <row r="59" ht="14" customHeight="1" spans="2:13">
      <c r="B59" s="184"/>
      <c r="C59" s="184"/>
      <c r="D59" s="191"/>
      <c r="E59" s="184"/>
      <c r="F59" s="193"/>
      <c r="G59" s="184"/>
      <c r="H59" s="192"/>
      <c r="I59" s="315"/>
      <c r="J59" s="184"/>
      <c r="K59" s="307"/>
      <c r="L59" s="307"/>
      <c r="M59" s="307"/>
    </row>
    <row r="60" ht="14" customHeight="1" spans="2:13">
      <c r="B60" s="184"/>
      <c r="C60" s="184"/>
      <c r="D60" s="191"/>
      <c r="E60" s="184"/>
      <c r="F60" s="193"/>
      <c r="G60" s="184"/>
      <c r="H60" s="192"/>
      <c r="I60" s="315"/>
      <c r="J60" s="184"/>
      <c r="K60" s="307"/>
      <c r="L60" s="307"/>
      <c r="M60" s="307"/>
    </row>
    <row r="61" ht="14" customHeight="1" spans="2:13">
      <c r="B61" s="184"/>
      <c r="C61" s="184"/>
      <c r="D61" s="191"/>
      <c r="E61" s="184"/>
      <c r="F61" s="193"/>
      <c r="G61" s="184"/>
      <c r="H61" s="192"/>
      <c r="I61" s="315"/>
      <c r="J61" s="184"/>
      <c r="K61" s="307"/>
      <c r="L61" s="307"/>
      <c r="M61" s="307"/>
    </row>
    <row r="62" ht="14" customHeight="1" spans="2:13">
      <c r="B62" s="184"/>
      <c r="C62" s="184"/>
      <c r="D62" s="191"/>
      <c r="E62" s="184"/>
      <c r="F62" s="193"/>
      <c r="G62" s="184"/>
      <c r="H62" s="192"/>
      <c r="I62" s="315"/>
      <c r="J62" s="184"/>
      <c r="K62" s="307"/>
      <c r="L62" s="307"/>
      <c r="M62" s="307"/>
    </row>
    <row r="63" ht="14" customHeight="1" spans="2:13">
      <c r="B63" s="184"/>
      <c r="C63" s="184"/>
      <c r="D63" s="191"/>
      <c r="E63" s="184"/>
      <c r="F63" s="193"/>
      <c r="G63" s="184"/>
      <c r="H63" s="192"/>
      <c r="I63" s="315"/>
      <c r="J63" s="184"/>
      <c r="K63" s="307"/>
      <c r="L63" s="307"/>
      <c r="M63" s="307"/>
    </row>
    <row r="64" ht="14" customHeight="1" spans="2:13">
      <c r="B64" s="184"/>
      <c r="C64" s="184"/>
      <c r="D64" s="191"/>
      <c r="E64" s="184"/>
      <c r="F64" s="193"/>
      <c r="G64" s="184"/>
      <c r="H64" s="192"/>
      <c r="I64" s="315"/>
      <c r="J64" s="184"/>
      <c r="K64" s="307"/>
      <c r="L64" s="307"/>
      <c r="M64" s="307"/>
    </row>
    <row r="65" ht="14" customHeight="1" spans="2:13">
      <c r="B65" s="184"/>
      <c r="C65" s="184"/>
      <c r="D65" s="191"/>
      <c r="E65" s="184"/>
      <c r="F65" s="193"/>
      <c r="G65" s="184"/>
      <c r="H65" s="192"/>
      <c r="I65" s="315"/>
      <c r="J65" s="184"/>
      <c r="K65" s="307"/>
      <c r="L65" s="307"/>
      <c r="M65" s="307"/>
    </row>
    <row r="66" ht="14" customHeight="1" spans="2:13">
      <c r="B66" s="184"/>
      <c r="C66" s="184"/>
      <c r="D66" s="191"/>
      <c r="E66" s="184"/>
      <c r="F66" s="193"/>
      <c r="G66" s="184"/>
      <c r="H66" s="192"/>
      <c r="I66" s="315"/>
      <c r="J66" s="184"/>
      <c r="K66" s="307"/>
      <c r="L66" s="307"/>
      <c r="M66" s="307"/>
    </row>
    <row r="67" ht="14" customHeight="1" spans="2:13">
      <c r="B67" s="184"/>
      <c r="C67" s="184"/>
      <c r="D67" s="191"/>
      <c r="E67" s="184"/>
      <c r="F67" s="193"/>
      <c r="G67" s="184"/>
      <c r="H67" s="192"/>
      <c r="I67" s="315"/>
      <c r="J67" s="184"/>
      <c r="K67" s="307"/>
      <c r="L67" s="307"/>
      <c r="M67" s="307"/>
    </row>
    <row r="68" ht="14" customHeight="1" spans="2:13">
      <c r="B68" s="184"/>
      <c r="C68" s="184"/>
      <c r="D68" s="191"/>
      <c r="E68" s="184"/>
      <c r="F68" s="193"/>
      <c r="G68" s="184"/>
      <c r="H68" s="192"/>
      <c r="I68" s="315"/>
      <c r="J68" s="184"/>
      <c r="K68" s="307"/>
      <c r="L68" s="307"/>
      <c r="M68" s="307"/>
    </row>
    <row r="69" ht="14" customHeight="1" spans="2:13">
      <c r="B69" s="184"/>
      <c r="C69" s="184"/>
      <c r="D69" s="191"/>
      <c r="E69" s="184"/>
      <c r="F69" s="193"/>
      <c r="G69" s="184"/>
      <c r="H69" s="192"/>
      <c r="I69" s="315"/>
      <c r="J69" s="184"/>
      <c r="K69" s="307"/>
      <c r="L69" s="307"/>
      <c r="M69" s="307"/>
    </row>
    <row r="70" ht="14" customHeight="1" spans="2:13">
      <c r="B70" s="184"/>
      <c r="C70" s="184"/>
      <c r="D70" s="191"/>
      <c r="E70" s="184"/>
      <c r="F70" s="193"/>
      <c r="G70" s="184"/>
      <c r="H70" s="192"/>
      <c r="I70" s="315"/>
      <c r="J70" s="184"/>
      <c r="K70" s="307"/>
      <c r="L70" s="307"/>
      <c r="M70" s="307"/>
    </row>
    <row r="71" ht="14" customHeight="1" spans="2:13">
      <c r="B71" s="184"/>
      <c r="C71" s="184"/>
      <c r="D71" s="191"/>
      <c r="E71" s="184"/>
      <c r="F71" s="193"/>
      <c r="G71" s="184"/>
      <c r="H71" s="192"/>
      <c r="I71" s="315"/>
      <c r="J71" s="184"/>
      <c r="K71" s="307"/>
      <c r="L71" s="307"/>
      <c r="M71" s="307"/>
    </row>
    <row r="72" ht="14" customHeight="1" spans="2:13">
      <c r="B72" s="184"/>
      <c r="C72" s="184"/>
      <c r="D72" s="191"/>
      <c r="E72" s="184"/>
      <c r="F72" s="193"/>
      <c r="G72" s="184"/>
      <c r="H72" s="192"/>
      <c r="I72" s="315"/>
      <c r="J72" s="184"/>
      <c r="K72" s="307"/>
      <c r="L72" s="307"/>
      <c r="M72" s="307"/>
    </row>
    <row r="73" ht="14" customHeight="1" spans="2:13">
      <c r="B73" s="184"/>
      <c r="C73" s="184"/>
      <c r="D73" s="191"/>
      <c r="E73" s="184"/>
      <c r="F73" s="193"/>
      <c r="G73" s="184"/>
      <c r="H73" s="192"/>
      <c r="I73" s="315"/>
      <c r="J73" s="184"/>
      <c r="K73" s="307"/>
      <c r="L73" s="307"/>
      <c r="M73" s="307"/>
    </row>
    <row r="74" ht="14" customHeight="1" spans="2:13">
      <c r="B74" s="184"/>
      <c r="C74" s="184"/>
      <c r="D74" s="191"/>
      <c r="E74" s="184"/>
      <c r="F74" s="193"/>
      <c r="G74" s="184"/>
      <c r="H74" s="192"/>
      <c r="I74" s="315"/>
      <c r="J74" s="184"/>
      <c r="K74" s="307"/>
      <c r="L74" s="307"/>
      <c r="M74" s="307"/>
    </row>
    <row r="75" ht="14" customHeight="1" spans="2:13">
      <c r="B75" s="184"/>
      <c r="C75" s="184"/>
      <c r="D75" s="191"/>
      <c r="E75" s="184"/>
      <c r="F75" s="193"/>
      <c r="G75" s="184"/>
      <c r="H75" s="192"/>
      <c r="I75" s="315"/>
      <c r="J75" s="184"/>
      <c r="K75" s="307"/>
      <c r="L75" s="307"/>
      <c r="M75" s="307"/>
    </row>
    <row r="76" ht="14" customHeight="1" spans="2:13">
      <c r="B76" s="184"/>
      <c r="C76" s="184"/>
      <c r="D76" s="191"/>
      <c r="E76" s="184"/>
      <c r="F76" s="193"/>
      <c r="G76" s="184"/>
      <c r="H76" s="192"/>
      <c r="I76" s="315"/>
      <c r="J76" s="184"/>
      <c r="K76" s="307"/>
      <c r="L76" s="307"/>
      <c r="M76" s="307"/>
    </row>
    <row r="77" ht="14" customHeight="1" spans="2:13">
      <c r="B77" s="184"/>
      <c r="C77" s="184"/>
      <c r="D77" s="191"/>
      <c r="E77" s="184"/>
      <c r="F77" s="193"/>
      <c r="G77" s="184"/>
      <c r="H77" s="192"/>
      <c r="I77" s="315"/>
      <c r="J77" s="184"/>
      <c r="K77" s="307"/>
      <c r="L77" s="307"/>
      <c r="M77" s="307"/>
    </row>
    <row r="78" ht="14" customHeight="1" spans="2:13">
      <c r="B78" s="184"/>
      <c r="C78" s="184"/>
      <c r="D78" s="191"/>
      <c r="E78" s="184"/>
      <c r="F78" s="193"/>
      <c r="G78" s="184"/>
      <c r="H78" s="192"/>
      <c r="I78" s="315"/>
      <c r="J78" s="184"/>
      <c r="K78" s="307"/>
      <c r="L78" s="307"/>
      <c r="M78" s="307"/>
    </row>
    <row r="79" ht="14" customHeight="1" spans="2:13">
      <c r="B79" s="184"/>
      <c r="C79" s="184"/>
      <c r="D79" s="191"/>
      <c r="E79" s="184"/>
      <c r="F79" s="193"/>
      <c r="G79" s="184"/>
      <c r="H79" s="192"/>
      <c r="I79" s="315"/>
      <c r="J79" s="184"/>
      <c r="K79" s="307"/>
      <c r="L79" s="307"/>
      <c r="M79" s="307"/>
    </row>
    <row r="80" ht="14" customHeight="1" spans="2:13">
      <c r="B80" s="184"/>
      <c r="C80" s="184"/>
      <c r="D80" s="191"/>
      <c r="E80" s="184"/>
      <c r="F80" s="193"/>
      <c r="G80" s="184"/>
      <c r="H80" s="192"/>
      <c r="I80" s="315"/>
      <c r="J80" s="184"/>
      <c r="K80" s="307"/>
      <c r="L80" s="307"/>
      <c r="M80" s="307"/>
    </row>
    <row r="81" ht="14" customHeight="1" spans="2:13">
      <c r="B81" s="184"/>
      <c r="C81" s="184"/>
      <c r="D81" s="191"/>
      <c r="E81" s="184"/>
      <c r="F81" s="193"/>
      <c r="G81" s="184"/>
      <c r="H81" s="192"/>
      <c r="I81" s="315"/>
      <c r="J81" s="184"/>
      <c r="K81" s="307"/>
      <c r="L81" s="307"/>
      <c r="M81" s="307"/>
    </row>
    <row r="82" ht="14" customHeight="1" spans="2:13">
      <c r="B82" s="184"/>
      <c r="C82" s="184"/>
      <c r="D82" s="191"/>
      <c r="E82" s="184"/>
      <c r="F82" s="193"/>
      <c r="G82" s="184"/>
      <c r="H82" s="192"/>
      <c r="I82" s="315"/>
      <c r="J82" s="184"/>
      <c r="K82" s="307"/>
      <c r="L82" s="307"/>
      <c r="M82" s="307"/>
    </row>
    <row r="83" ht="14" customHeight="1" spans="2:13">
      <c r="B83" s="184"/>
      <c r="C83" s="184"/>
      <c r="D83" s="191"/>
      <c r="E83" s="184"/>
      <c r="F83" s="193"/>
      <c r="G83" s="184"/>
      <c r="H83" s="192"/>
      <c r="I83" s="315"/>
      <c r="J83" s="184"/>
      <c r="K83" s="307"/>
      <c r="L83" s="307"/>
      <c r="M83" s="307"/>
    </row>
    <row r="84" ht="14" customHeight="1" spans="2:13">
      <c r="B84" s="184"/>
      <c r="C84" s="184"/>
      <c r="D84" s="191"/>
      <c r="E84" s="184"/>
      <c r="F84" s="193"/>
      <c r="G84" s="184"/>
      <c r="H84" s="192"/>
      <c r="I84" s="315"/>
      <c r="J84" s="184"/>
      <c r="K84" s="307"/>
      <c r="L84" s="307"/>
      <c r="M84" s="307"/>
    </row>
    <row r="85" ht="14" customHeight="1" spans="2:13">
      <c r="B85" s="184"/>
      <c r="C85" s="184"/>
      <c r="D85" s="191"/>
      <c r="E85" s="184"/>
      <c r="F85" s="193"/>
      <c r="G85" s="184"/>
      <c r="H85" s="192"/>
      <c r="I85" s="315"/>
      <c r="J85" s="184"/>
      <c r="K85" s="307"/>
      <c r="L85" s="307"/>
      <c r="M85" s="307"/>
    </row>
    <row r="86" ht="14" customHeight="1" spans="2:13">
      <c r="B86" s="184"/>
      <c r="C86" s="184"/>
      <c r="D86" s="191"/>
      <c r="E86" s="184"/>
      <c r="F86" s="193"/>
      <c r="G86" s="184"/>
      <c r="H86" s="192"/>
      <c r="I86" s="315"/>
      <c r="J86" s="184"/>
      <c r="K86" s="307"/>
      <c r="L86" s="307"/>
      <c r="M86" s="307"/>
    </row>
    <row r="87" ht="14" customHeight="1" spans="2:13">
      <c r="B87" s="184"/>
      <c r="C87" s="184"/>
      <c r="D87" s="191"/>
      <c r="E87" s="184"/>
      <c r="F87" s="193"/>
      <c r="G87" s="184"/>
      <c r="H87" s="192"/>
      <c r="I87" s="315"/>
      <c r="J87" s="184"/>
      <c r="K87" s="307"/>
      <c r="L87" s="307"/>
      <c r="M87" s="307"/>
    </row>
    <row r="88" ht="14" customHeight="1" spans="2:13">
      <c r="B88" s="184"/>
      <c r="C88" s="184"/>
      <c r="D88" s="191"/>
      <c r="E88" s="184"/>
      <c r="F88" s="193"/>
      <c r="G88" s="184"/>
      <c r="H88" s="192"/>
      <c r="I88" s="315"/>
      <c r="J88" s="184"/>
      <c r="K88" s="307"/>
      <c r="L88" s="307"/>
      <c r="M88" s="307"/>
    </row>
    <row r="89" ht="14" customHeight="1" spans="2:13">
      <c r="B89" s="184"/>
      <c r="C89" s="184"/>
      <c r="D89" s="191"/>
      <c r="E89" s="184"/>
      <c r="F89" s="193"/>
      <c r="G89" s="184"/>
      <c r="H89" s="192"/>
      <c r="I89" s="315"/>
      <c r="J89" s="184"/>
      <c r="K89" s="307"/>
      <c r="L89" s="307"/>
      <c r="M89" s="307"/>
    </row>
    <row r="90" ht="14" customHeight="1" spans="2:13">
      <c r="B90" s="184"/>
      <c r="C90" s="184"/>
      <c r="D90" s="191"/>
      <c r="E90" s="184"/>
      <c r="F90" s="193"/>
      <c r="G90" s="184"/>
      <c r="H90" s="192"/>
      <c r="I90" s="315"/>
      <c r="J90" s="184"/>
      <c r="K90" s="307"/>
      <c r="L90" s="307"/>
      <c r="M90" s="307"/>
    </row>
    <row r="91" ht="14" customHeight="1" spans="2:13">
      <c r="B91" s="184"/>
      <c r="C91" s="184"/>
      <c r="D91" s="191"/>
      <c r="E91" s="184"/>
      <c r="F91" s="193"/>
      <c r="G91" s="184"/>
      <c r="H91" s="192"/>
      <c r="I91" s="315"/>
      <c r="J91" s="184"/>
      <c r="K91" s="307"/>
      <c r="L91" s="307"/>
      <c r="M91" s="307"/>
    </row>
    <row r="92" ht="14" customHeight="1" spans="2:13">
      <c r="B92" s="184"/>
      <c r="C92" s="184"/>
      <c r="D92" s="191"/>
      <c r="E92" s="184"/>
      <c r="F92" s="193"/>
      <c r="G92" s="184"/>
      <c r="H92" s="192"/>
      <c r="I92" s="315"/>
      <c r="J92" s="184"/>
      <c r="K92" s="307"/>
      <c r="L92" s="307"/>
      <c r="M92" s="307"/>
    </row>
    <row r="93" ht="14" customHeight="1" spans="2:13">
      <c r="B93" s="184"/>
      <c r="C93" s="184"/>
      <c r="D93" s="191"/>
      <c r="E93" s="184"/>
      <c r="F93" s="193"/>
      <c r="G93" s="184"/>
      <c r="H93" s="192"/>
      <c r="I93" s="315"/>
      <c r="J93" s="184"/>
      <c r="K93" s="307"/>
      <c r="L93" s="307"/>
      <c r="M93" s="307"/>
    </row>
    <row r="94" ht="14" customHeight="1" spans="2:13">
      <c r="B94" s="184"/>
      <c r="C94" s="184"/>
      <c r="D94" s="191"/>
      <c r="E94" s="184"/>
      <c r="F94" s="193"/>
      <c r="G94" s="184"/>
      <c r="H94" s="192"/>
      <c r="I94" s="315"/>
      <c r="J94" s="184"/>
      <c r="K94" s="307"/>
      <c r="L94" s="307"/>
      <c r="M94" s="307"/>
    </row>
    <row r="95" ht="14" customHeight="1" spans="2:13">
      <c r="B95" s="184"/>
      <c r="C95" s="184"/>
      <c r="D95" s="191"/>
      <c r="E95" s="184"/>
      <c r="F95" s="193"/>
      <c r="G95" s="184"/>
      <c r="H95" s="192"/>
      <c r="I95" s="315"/>
      <c r="J95" s="184"/>
      <c r="K95" s="307"/>
      <c r="L95" s="307"/>
      <c r="M95" s="307"/>
    </row>
    <row r="96" ht="14" customHeight="1" spans="2:13">
      <c r="B96" s="184"/>
      <c r="C96" s="184"/>
      <c r="D96" s="191"/>
      <c r="E96" s="184"/>
      <c r="F96" s="193"/>
      <c r="G96" s="184"/>
      <c r="H96" s="192"/>
      <c r="I96" s="315"/>
      <c r="J96" s="184"/>
      <c r="K96" s="307"/>
      <c r="L96" s="307"/>
      <c r="M96" s="307"/>
    </row>
    <row r="97" ht="14" customHeight="1" spans="2:13">
      <c r="B97" s="184"/>
      <c r="C97" s="184"/>
      <c r="D97" s="191"/>
      <c r="E97" s="184"/>
      <c r="F97" s="193"/>
      <c r="G97" s="184"/>
      <c r="H97" s="192"/>
      <c r="I97" s="315"/>
      <c r="J97" s="184"/>
      <c r="K97" s="307"/>
      <c r="L97" s="307"/>
      <c r="M97" s="307"/>
    </row>
    <row r="98" ht="14" customHeight="1" spans="2:13">
      <c r="B98" s="184"/>
      <c r="C98" s="184"/>
      <c r="D98" s="191"/>
      <c r="E98" s="184"/>
      <c r="F98" s="193"/>
      <c r="G98" s="184"/>
      <c r="H98" s="192"/>
      <c r="I98" s="315"/>
      <c r="J98" s="184"/>
      <c r="K98" s="307"/>
      <c r="L98" s="307"/>
      <c r="M98" s="307"/>
    </row>
    <row r="99" ht="14" customHeight="1" spans="2:13">
      <c r="B99" s="184"/>
      <c r="C99" s="184"/>
      <c r="D99" s="191"/>
      <c r="E99" s="184"/>
      <c r="F99" s="193"/>
      <c r="G99" s="184"/>
      <c r="H99" s="192"/>
      <c r="I99" s="315"/>
      <c r="J99" s="184"/>
      <c r="K99" s="307"/>
      <c r="L99" s="307"/>
      <c r="M99" s="307"/>
    </row>
    <row r="100" ht="14" customHeight="1" spans="2:13">
      <c r="B100" s="184"/>
      <c r="C100" s="184"/>
      <c r="D100" s="191"/>
      <c r="E100" s="184"/>
      <c r="F100" s="193"/>
      <c r="G100" s="184"/>
      <c r="H100" s="192"/>
      <c r="I100" s="315"/>
      <c r="J100" s="184"/>
      <c r="K100" s="307"/>
      <c r="L100" s="307"/>
      <c r="M100" s="307"/>
    </row>
    <row r="101" ht="14" customHeight="1" spans="2:13">
      <c r="B101" s="184"/>
      <c r="C101" s="184"/>
      <c r="D101" s="191"/>
      <c r="E101" s="184"/>
      <c r="F101" s="193"/>
      <c r="G101" s="184"/>
      <c r="H101" s="192"/>
      <c r="I101" s="315"/>
      <c r="J101" s="184"/>
      <c r="K101" s="307"/>
      <c r="L101" s="307"/>
      <c r="M101" s="307"/>
    </row>
    <row r="102" ht="14" customHeight="1" spans="2:13">
      <c r="B102" s="184"/>
      <c r="C102" s="184"/>
      <c r="D102" s="191"/>
      <c r="E102" s="184"/>
      <c r="F102" s="193"/>
      <c r="G102" s="184"/>
      <c r="H102" s="192"/>
      <c r="I102" s="315"/>
      <c r="J102" s="184"/>
      <c r="K102" s="307"/>
      <c r="L102" s="307"/>
      <c r="M102" s="307"/>
    </row>
    <row r="103" ht="14" customHeight="1" spans="2:13">
      <c r="B103" s="184"/>
      <c r="C103" s="184"/>
      <c r="D103" s="191"/>
      <c r="E103" s="184"/>
      <c r="F103" s="193"/>
      <c r="G103" s="184"/>
      <c r="H103" s="192"/>
      <c r="I103" s="315"/>
      <c r="J103" s="184"/>
      <c r="K103" s="307"/>
      <c r="L103" s="307"/>
      <c r="M103" s="307"/>
    </row>
    <row r="104" ht="14" customHeight="1" spans="2:13">
      <c r="B104" s="184"/>
      <c r="C104" s="184"/>
      <c r="D104" s="191"/>
      <c r="E104" s="184"/>
      <c r="F104" s="193"/>
      <c r="G104" s="184"/>
      <c r="H104" s="192"/>
      <c r="I104" s="315"/>
      <c r="J104" s="184"/>
      <c r="K104" s="307"/>
      <c r="L104" s="307"/>
      <c r="M104" s="307"/>
    </row>
  </sheetData>
  <autoFilter xmlns:etc="http://www.wps.cn/officeDocument/2017/etCustomData" ref="A1:J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2" tint="-0.249977111117893"/>
  </sheetPr>
  <dimension ref="A1:K48"/>
  <sheetViews>
    <sheetView workbookViewId="0">
      <pane ySplit="1" topLeftCell="A8" activePane="bottomLeft" state="frozen"/>
      <selection/>
      <selection pane="bottomLeft" activeCell="O9" sqref="O9"/>
    </sheetView>
  </sheetViews>
  <sheetFormatPr defaultColWidth="9" defaultRowHeight="13.85"/>
  <cols>
    <col min="1" max="1" width="25" style="216" customWidth="1"/>
    <col min="2" max="2" width="25" style="184" customWidth="1"/>
    <col min="3" max="3" width="18.6637168141593" style="216" customWidth="1"/>
    <col min="4" max="4" width="72.1681415929203" style="191" customWidth="1"/>
    <col min="5" max="5" width="9.16814159292035" style="216" customWidth="1"/>
    <col min="6" max="6" width="10" style="246" customWidth="1"/>
    <col min="7" max="7" width="13.1681415929204" style="216" customWidth="1"/>
    <col min="8" max="8" width="12.6637168141593" style="215" customWidth="1"/>
    <col min="9" max="9" width="12" style="216" customWidth="1"/>
    <col min="10" max="10" width="11.1681415929204" style="216" customWidth="1"/>
    <col min="11" max="11" width="18.1681415929204" style="63" customWidth="1"/>
    <col min="12" max="12" width="9" style="63" customWidth="1"/>
    <col min="13" max="16384" width="9" style="63"/>
  </cols>
  <sheetData>
    <row r="1" spans="1:11">
      <c r="A1" s="70" t="s">
        <v>50</v>
      </c>
      <c r="B1" s="91" t="s">
        <v>51</v>
      </c>
      <c r="C1" s="70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45" customHeight="1" spans="1:11">
      <c r="A2" s="72" t="s">
        <v>634</v>
      </c>
      <c r="B2" s="72" t="s">
        <v>36</v>
      </c>
      <c r="C2" s="102" t="s">
        <v>635</v>
      </c>
      <c r="D2" s="87" t="s">
        <v>636</v>
      </c>
      <c r="E2" s="72" t="s">
        <v>284</v>
      </c>
      <c r="F2" s="74">
        <v>2</v>
      </c>
      <c r="G2" s="72" t="s">
        <v>69</v>
      </c>
      <c r="H2" s="72">
        <v>317193</v>
      </c>
      <c r="I2" s="114"/>
      <c r="J2" s="302"/>
      <c r="K2" s="251" t="s">
        <v>637</v>
      </c>
    </row>
    <row r="3" ht="60" customHeight="1" spans="1:11">
      <c r="A3" s="72" t="s">
        <v>634</v>
      </c>
      <c r="B3" s="72" t="s">
        <v>36</v>
      </c>
      <c r="C3" s="102" t="s">
        <v>638</v>
      </c>
      <c r="D3" s="73" t="s">
        <v>639</v>
      </c>
      <c r="E3" s="72" t="s">
        <v>284</v>
      </c>
      <c r="F3" s="74">
        <v>2</v>
      </c>
      <c r="G3" s="72" t="s">
        <v>69</v>
      </c>
      <c r="H3" s="72">
        <v>285143</v>
      </c>
      <c r="I3" s="114"/>
      <c r="J3" s="114"/>
      <c r="K3" s="251" t="s">
        <v>637</v>
      </c>
    </row>
    <row r="4" ht="60" customHeight="1" spans="1:11">
      <c r="A4" s="72" t="s">
        <v>634</v>
      </c>
      <c r="B4" s="72" t="s">
        <v>36</v>
      </c>
      <c r="C4" s="102" t="s">
        <v>640</v>
      </c>
      <c r="D4" s="303" t="s">
        <v>641</v>
      </c>
      <c r="E4" s="72" t="s">
        <v>284</v>
      </c>
      <c r="F4" s="74">
        <v>2</v>
      </c>
      <c r="G4" s="72" t="s">
        <v>65</v>
      </c>
      <c r="H4" s="72">
        <v>324317</v>
      </c>
      <c r="I4" s="114"/>
      <c r="J4" s="302"/>
      <c r="K4" s="251" t="s">
        <v>637</v>
      </c>
    </row>
    <row r="5" ht="60" customHeight="1" spans="1:11">
      <c r="A5" s="72" t="s">
        <v>634</v>
      </c>
      <c r="B5" s="72" t="s">
        <v>36</v>
      </c>
      <c r="C5" s="102" t="s">
        <v>642</v>
      </c>
      <c r="D5" s="116" t="s">
        <v>643</v>
      </c>
      <c r="E5" s="72" t="s">
        <v>284</v>
      </c>
      <c r="F5" s="74">
        <v>2</v>
      </c>
      <c r="G5" s="72" t="s">
        <v>69</v>
      </c>
      <c r="H5" s="72">
        <v>311794</v>
      </c>
      <c r="I5" s="114"/>
      <c r="J5" s="302"/>
      <c r="K5" s="251" t="s">
        <v>637</v>
      </c>
    </row>
    <row r="6" ht="60" customHeight="1" spans="1:11">
      <c r="A6" s="72" t="s">
        <v>634</v>
      </c>
      <c r="B6" s="72" t="s">
        <v>36</v>
      </c>
      <c r="C6" s="102" t="s">
        <v>644</v>
      </c>
      <c r="D6" s="116" t="s">
        <v>645</v>
      </c>
      <c r="E6" s="72" t="s">
        <v>284</v>
      </c>
      <c r="F6" s="74">
        <v>2</v>
      </c>
      <c r="G6" s="72" t="s">
        <v>69</v>
      </c>
      <c r="H6" s="72">
        <v>345397</v>
      </c>
      <c r="I6" s="114"/>
      <c r="J6" s="302"/>
      <c r="K6" s="251" t="s">
        <v>637</v>
      </c>
    </row>
    <row r="7" ht="60" customHeight="1" spans="1:11">
      <c r="A7" s="72" t="s">
        <v>646</v>
      </c>
      <c r="B7" s="72" t="s">
        <v>36</v>
      </c>
      <c r="C7" s="102" t="s">
        <v>647</v>
      </c>
      <c r="D7" s="87" t="s">
        <v>648</v>
      </c>
      <c r="E7" s="72" t="s">
        <v>284</v>
      </c>
      <c r="F7" s="74">
        <v>2</v>
      </c>
      <c r="G7" s="72" t="s">
        <v>69</v>
      </c>
      <c r="H7" s="72">
        <v>243173</v>
      </c>
      <c r="I7" s="114"/>
      <c r="J7" s="302"/>
      <c r="K7" s="251" t="s">
        <v>637</v>
      </c>
    </row>
    <row r="8" ht="89" customHeight="1" spans="1:11">
      <c r="A8" s="72" t="s">
        <v>634</v>
      </c>
      <c r="B8" s="72" t="s">
        <v>36</v>
      </c>
      <c r="C8" s="102" t="s">
        <v>649</v>
      </c>
      <c r="D8" s="73" t="s">
        <v>650</v>
      </c>
      <c r="E8" s="72" t="s">
        <v>284</v>
      </c>
      <c r="F8" s="74">
        <v>2</v>
      </c>
      <c r="G8" s="72" t="s">
        <v>69</v>
      </c>
      <c r="H8" s="72">
        <v>211106</v>
      </c>
      <c r="I8" s="114"/>
      <c r="J8" s="114"/>
      <c r="K8" s="251" t="s">
        <v>637</v>
      </c>
    </row>
    <row r="9" ht="60" customHeight="1" spans="1:11">
      <c r="A9" s="72" t="s">
        <v>646</v>
      </c>
      <c r="B9" s="72" t="s">
        <v>36</v>
      </c>
      <c r="C9" s="102" t="s">
        <v>651</v>
      </c>
      <c r="D9" s="116" t="s">
        <v>652</v>
      </c>
      <c r="E9" s="72" t="s">
        <v>284</v>
      </c>
      <c r="F9" s="74">
        <v>2</v>
      </c>
      <c r="G9" s="72" t="s">
        <v>65</v>
      </c>
      <c r="H9" s="72">
        <v>289541</v>
      </c>
      <c r="I9" s="114"/>
      <c r="J9" s="302"/>
      <c r="K9" s="251" t="s">
        <v>637</v>
      </c>
    </row>
    <row r="10" ht="60" customHeight="1" spans="1:11">
      <c r="A10" s="72" t="s">
        <v>653</v>
      </c>
      <c r="B10" s="72" t="s">
        <v>36</v>
      </c>
      <c r="C10" s="102" t="s">
        <v>654</v>
      </c>
      <c r="D10" s="116" t="s">
        <v>655</v>
      </c>
      <c r="E10" s="72" t="s">
        <v>284</v>
      </c>
      <c r="F10" s="74">
        <v>2</v>
      </c>
      <c r="G10" s="72" t="s">
        <v>69</v>
      </c>
      <c r="H10" s="72">
        <v>277035</v>
      </c>
      <c r="I10" s="114"/>
      <c r="J10" s="302"/>
      <c r="K10" s="251" t="s">
        <v>637</v>
      </c>
    </row>
    <row r="11" ht="30" customHeight="1" spans="1:11">
      <c r="A11" s="99" t="s">
        <v>653</v>
      </c>
      <c r="B11" s="72" t="s">
        <v>656</v>
      </c>
      <c r="C11" s="102" t="s">
        <v>657</v>
      </c>
      <c r="D11" s="116" t="s">
        <v>658</v>
      </c>
      <c r="E11" s="72" t="s">
        <v>284</v>
      </c>
      <c r="F11" s="74">
        <v>2</v>
      </c>
      <c r="G11" s="72" t="s">
        <v>69</v>
      </c>
      <c r="H11" s="72">
        <v>32465</v>
      </c>
      <c r="I11" s="114"/>
      <c r="J11" s="302"/>
      <c r="K11" s="95"/>
    </row>
    <row r="12" ht="30" customHeight="1" spans="1:11">
      <c r="A12" s="72" t="s">
        <v>653</v>
      </c>
      <c r="B12" s="72" t="s">
        <v>656</v>
      </c>
      <c r="C12" s="102" t="s">
        <v>659</v>
      </c>
      <c r="D12" s="116" t="s">
        <v>660</v>
      </c>
      <c r="E12" s="72" t="s">
        <v>284</v>
      </c>
      <c r="F12" s="74">
        <v>2</v>
      </c>
      <c r="G12" s="72" t="s">
        <v>65</v>
      </c>
      <c r="H12" s="72">
        <v>30153</v>
      </c>
      <c r="I12" s="114"/>
      <c r="J12" s="302"/>
      <c r="K12" s="95"/>
    </row>
    <row r="13" ht="30" customHeight="1" spans="1:11">
      <c r="A13" s="72" t="s">
        <v>661</v>
      </c>
      <c r="B13" s="72" t="s">
        <v>656</v>
      </c>
      <c r="C13" s="102" t="s">
        <v>662</v>
      </c>
      <c r="D13" s="116" t="s">
        <v>663</v>
      </c>
      <c r="E13" s="72" t="s">
        <v>284</v>
      </c>
      <c r="F13" s="74">
        <v>2</v>
      </c>
      <c r="G13" s="72" t="s">
        <v>65</v>
      </c>
      <c r="H13" s="72">
        <v>32465</v>
      </c>
      <c r="I13" s="114"/>
      <c r="J13" s="302"/>
      <c r="K13" s="95"/>
    </row>
    <row r="14" ht="30" customHeight="1" spans="1:11">
      <c r="A14" s="72" t="s">
        <v>661</v>
      </c>
      <c r="B14" s="72" t="s">
        <v>656</v>
      </c>
      <c r="C14" s="102" t="s">
        <v>664</v>
      </c>
      <c r="D14" s="116" t="s">
        <v>665</v>
      </c>
      <c r="E14" s="72" t="s">
        <v>284</v>
      </c>
      <c r="F14" s="74">
        <v>2</v>
      </c>
      <c r="G14" s="72" t="s">
        <v>65</v>
      </c>
      <c r="H14" s="72">
        <v>20890</v>
      </c>
      <c r="I14" s="114"/>
      <c r="J14" s="302"/>
      <c r="K14" s="95"/>
    </row>
    <row r="15" ht="45" customHeight="1" spans="1:11">
      <c r="A15" s="72" t="s">
        <v>666</v>
      </c>
      <c r="B15" s="72" t="s">
        <v>25</v>
      </c>
      <c r="C15" s="72" t="s">
        <v>667</v>
      </c>
      <c r="D15" s="73" t="s">
        <v>668</v>
      </c>
      <c r="E15" s="72" t="s">
        <v>284</v>
      </c>
      <c r="F15" s="74">
        <v>2</v>
      </c>
      <c r="G15" s="72" t="s">
        <v>65</v>
      </c>
      <c r="H15" s="72">
        <v>21373</v>
      </c>
      <c r="I15" s="114"/>
      <c r="J15" s="302"/>
      <c r="K15" s="95"/>
    </row>
    <row r="16" ht="45" customHeight="1" spans="1:11">
      <c r="A16" s="72" t="s">
        <v>669</v>
      </c>
      <c r="B16" s="72" t="s">
        <v>25</v>
      </c>
      <c r="C16" s="72" t="s">
        <v>670</v>
      </c>
      <c r="D16" s="73" t="s">
        <v>671</v>
      </c>
      <c r="E16" s="72" t="s">
        <v>284</v>
      </c>
      <c r="F16" s="74">
        <v>2</v>
      </c>
      <c r="G16" s="72" t="s">
        <v>65</v>
      </c>
      <c r="H16" s="72">
        <v>32068</v>
      </c>
      <c r="I16" s="114"/>
      <c r="J16" s="302"/>
      <c r="K16" s="95"/>
    </row>
    <row r="17" ht="45" customHeight="1" spans="1:11">
      <c r="A17" s="72" t="s">
        <v>669</v>
      </c>
      <c r="B17" s="72" t="s">
        <v>25</v>
      </c>
      <c r="C17" s="72" t="s">
        <v>672</v>
      </c>
      <c r="D17" s="73" t="s">
        <v>673</v>
      </c>
      <c r="E17" s="72" t="s">
        <v>284</v>
      </c>
      <c r="F17" s="74">
        <v>2</v>
      </c>
      <c r="G17" s="72" t="s">
        <v>69</v>
      </c>
      <c r="H17" s="72">
        <v>50077</v>
      </c>
      <c r="I17" s="114"/>
      <c r="J17" s="302"/>
      <c r="K17" s="95"/>
    </row>
    <row r="18" ht="30" customHeight="1" spans="1:11">
      <c r="A18" s="72" t="s">
        <v>669</v>
      </c>
      <c r="B18" s="72" t="s">
        <v>25</v>
      </c>
      <c r="C18" s="99" t="s">
        <v>674</v>
      </c>
      <c r="D18" s="76" t="s">
        <v>675</v>
      </c>
      <c r="E18" s="72" t="s">
        <v>284</v>
      </c>
      <c r="F18" s="74">
        <v>2</v>
      </c>
      <c r="G18" s="72" t="s">
        <v>65</v>
      </c>
      <c r="H18" s="72">
        <v>15042</v>
      </c>
      <c r="I18" s="114"/>
      <c r="J18" s="72"/>
      <c r="K18" s="95"/>
    </row>
    <row r="19" ht="30" customHeight="1" spans="1:11">
      <c r="A19" s="72" t="s">
        <v>669</v>
      </c>
      <c r="B19" s="72" t="s">
        <v>25</v>
      </c>
      <c r="C19" s="72" t="s">
        <v>676</v>
      </c>
      <c r="D19" s="76" t="s">
        <v>677</v>
      </c>
      <c r="E19" s="72" t="s">
        <v>284</v>
      </c>
      <c r="F19" s="74">
        <v>2</v>
      </c>
      <c r="G19" s="72" t="s">
        <v>65</v>
      </c>
      <c r="H19" s="72">
        <v>10695</v>
      </c>
      <c r="I19" s="114"/>
      <c r="J19" s="72"/>
      <c r="K19" s="95"/>
    </row>
    <row r="20" ht="30" customHeight="1" spans="1:11">
      <c r="A20" s="72" t="s">
        <v>678</v>
      </c>
      <c r="B20" s="72" t="s">
        <v>44</v>
      </c>
      <c r="C20" s="72" t="s">
        <v>126</v>
      </c>
      <c r="D20" s="73" t="s">
        <v>679</v>
      </c>
      <c r="E20" s="72" t="s">
        <v>284</v>
      </c>
      <c r="F20" s="74">
        <v>6</v>
      </c>
      <c r="G20" s="304" t="s">
        <v>65</v>
      </c>
      <c r="H20" s="72">
        <v>0</v>
      </c>
      <c r="I20" s="114"/>
      <c r="J20" s="72"/>
      <c r="K20" s="238"/>
    </row>
    <row r="21" ht="30" customHeight="1" spans="1:11">
      <c r="A21" s="72" t="s">
        <v>680</v>
      </c>
      <c r="B21" s="72" t="s">
        <v>28</v>
      </c>
      <c r="C21" s="72" t="s">
        <v>681</v>
      </c>
      <c r="D21" s="73" t="s">
        <v>682</v>
      </c>
      <c r="E21" s="72" t="s">
        <v>128</v>
      </c>
      <c r="F21" s="74">
        <v>0</v>
      </c>
      <c r="G21" s="72" t="s">
        <v>69</v>
      </c>
      <c r="H21" s="72">
        <v>3778</v>
      </c>
      <c r="I21" s="114"/>
      <c r="J21" s="72"/>
      <c r="K21" s="95"/>
    </row>
    <row r="22" ht="30" customHeight="1" spans="1:11">
      <c r="A22" s="72" t="s">
        <v>680</v>
      </c>
      <c r="B22" s="72" t="s">
        <v>41</v>
      </c>
      <c r="C22" s="72" t="s">
        <v>683</v>
      </c>
      <c r="D22" s="73" t="s">
        <v>684</v>
      </c>
      <c r="E22" s="72" t="s">
        <v>284</v>
      </c>
      <c r="F22" s="74">
        <v>0</v>
      </c>
      <c r="G22" s="72" t="s">
        <v>65</v>
      </c>
      <c r="H22" s="72">
        <v>293</v>
      </c>
      <c r="I22" s="114"/>
      <c r="J22" s="72"/>
      <c r="K22" s="95"/>
    </row>
    <row r="23" ht="15" customHeight="1" spans="1:11">
      <c r="A23" s="72" t="s">
        <v>680</v>
      </c>
      <c r="B23" s="72" t="s">
        <v>685</v>
      </c>
      <c r="C23" s="72" t="s">
        <v>686</v>
      </c>
      <c r="D23" s="76" t="s">
        <v>687</v>
      </c>
      <c r="E23" s="72" t="s">
        <v>284</v>
      </c>
      <c r="F23" s="74">
        <v>0</v>
      </c>
      <c r="G23" s="72" t="s">
        <v>69</v>
      </c>
      <c r="H23" s="72">
        <v>311</v>
      </c>
      <c r="I23" s="114"/>
      <c r="J23" s="72"/>
      <c r="K23" s="95"/>
    </row>
    <row r="24" ht="15" customHeight="1" spans="1:11">
      <c r="A24" s="72" t="s">
        <v>680</v>
      </c>
      <c r="B24" s="72" t="s">
        <v>48</v>
      </c>
      <c r="C24" s="74" t="s">
        <v>688</v>
      </c>
      <c r="D24" s="305" t="s">
        <v>689</v>
      </c>
      <c r="E24" s="74" t="s">
        <v>690</v>
      </c>
      <c r="F24" s="74">
        <v>0</v>
      </c>
      <c r="G24" s="74" t="s">
        <v>65</v>
      </c>
      <c r="H24" s="72">
        <v>8159</v>
      </c>
      <c r="I24" s="114"/>
      <c r="J24" s="74"/>
      <c r="K24" s="238"/>
    </row>
    <row r="25" ht="15" customHeight="1" spans="1:11">
      <c r="A25" s="72" t="s">
        <v>680</v>
      </c>
      <c r="B25" s="72" t="s">
        <v>48</v>
      </c>
      <c r="C25" s="74" t="s">
        <v>691</v>
      </c>
      <c r="D25" s="306" t="s">
        <v>692</v>
      </c>
      <c r="E25" s="74" t="s">
        <v>690</v>
      </c>
      <c r="F25" s="74">
        <v>0</v>
      </c>
      <c r="G25" s="74" t="s">
        <v>65</v>
      </c>
      <c r="H25" s="72">
        <v>9971</v>
      </c>
      <c r="I25" s="114"/>
      <c r="J25" s="74"/>
      <c r="K25" s="238"/>
    </row>
    <row r="26" ht="15" customHeight="1" spans="1:11">
      <c r="A26" s="72" t="s">
        <v>680</v>
      </c>
      <c r="B26" s="72" t="s">
        <v>48</v>
      </c>
      <c r="C26" s="74" t="s">
        <v>693</v>
      </c>
      <c r="D26" s="305" t="s">
        <v>694</v>
      </c>
      <c r="E26" s="74" t="s">
        <v>690</v>
      </c>
      <c r="F26" s="74">
        <v>0</v>
      </c>
      <c r="G26" s="74" t="s">
        <v>65</v>
      </c>
      <c r="H26" s="72">
        <v>6348</v>
      </c>
      <c r="I26" s="114"/>
      <c r="J26" s="74"/>
      <c r="K26" s="238"/>
    </row>
    <row r="27" ht="30" customHeight="1" spans="1:11">
      <c r="A27" s="72" t="s">
        <v>678</v>
      </c>
      <c r="B27" s="72" t="s">
        <v>44</v>
      </c>
      <c r="C27" s="72" t="s">
        <v>695</v>
      </c>
      <c r="D27" s="73" t="s">
        <v>696</v>
      </c>
      <c r="E27" s="72" t="s">
        <v>284</v>
      </c>
      <c r="F27" s="74">
        <v>6</v>
      </c>
      <c r="G27" s="72" t="s">
        <v>65</v>
      </c>
      <c r="H27" s="72">
        <v>54251</v>
      </c>
      <c r="I27" s="114"/>
      <c r="J27" s="114"/>
      <c r="K27" s="95"/>
    </row>
    <row r="28" ht="30" customHeight="1" spans="1:11">
      <c r="A28" s="72" t="s">
        <v>678</v>
      </c>
      <c r="B28" s="72" t="s">
        <v>44</v>
      </c>
      <c r="C28" s="72" t="s">
        <v>697</v>
      </c>
      <c r="D28" s="73" t="s">
        <v>698</v>
      </c>
      <c r="E28" s="72" t="s">
        <v>284</v>
      </c>
      <c r="F28" s="74">
        <v>6</v>
      </c>
      <c r="G28" s="72" t="s">
        <v>65</v>
      </c>
      <c r="H28" s="72">
        <v>126701</v>
      </c>
      <c r="I28" s="114"/>
      <c r="J28" s="114"/>
      <c r="K28" s="95"/>
    </row>
    <row r="29" ht="30" customHeight="1" spans="1:11">
      <c r="A29" s="72" t="s">
        <v>699</v>
      </c>
      <c r="B29" s="72" t="s">
        <v>49</v>
      </c>
      <c r="C29" s="72" t="s">
        <v>700</v>
      </c>
      <c r="D29" s="73" t="s">
        <v>701</v>
      </c>
      <c r="E29" s="72" t="s">
        <v>132</v>
      </c>
      <c r="F29" s="74">
        <v>1</v>
      </c>
      <c r="G29" s="72" t="s">
        <v>65</v>
      </c>
      <c r="H29" s="72">
        <v>100</v>
      </c>
      <c r="I29" s="114"/>
      <c r="J29" s="114"/>
      <c r="K29" s="95"/>
    </row>
    <row r="30" ht="30" customHeight="1" spans="1:11">
      <c r="A30" s="72" t="s">
        <v>699</v>
      </c>
      <c r="B30" s="72" t="s">
        <v>49</v>
      </c>
      <c r="C30" s="219" t="s">
        <v>702</v>
      </c>
      <c r="D30" s="73" t="s">
        <v>703</v>
      </c>
      <c r="E30" s="74" t="s">
        <v>132</v>
      </c>
      <c r="F30" s="74">
        <v>0</v>
      </c>
      <c r="G30" s="74" t="s">
        <v>65</v>
      </c>
      <c r="H30" s="72">
        <v>1204</v>
      </c>
      <c r="I30" s="114"/>
      <c r="J30" s="96"/>
      <c r="K30" s="103"/>
    </row>
    <row r="31" ht="30" customHeight="1" spans="1:11">
      <c r="A31" s="72" t="s">
        <v>699</v>
      </c>
      <c r="B31" s="72" t="s">
        <v>49</v>
      </c>
      <c r="C31" s="219" t="s">
        <v>704</v>
      </c>
      <c r="D31" s="73" t="s">
        <v>705</v>
      </c>
      <c r="E31" s="74" t="s">
        <v>132</v>
      </c>
      <c r="F31" s="74">
        <v>0</v>
      </c>
      <c r="G31" s="74" t="s">
        <v>65</v>
      </c>
      <c r="H31" s="72">
        <v>2254</v>
      </c>
      <c r="I31" s="114"/>
      <c r="J31" s="96"/>
      <c r="K31" s="103"/>
    </row>
    <row r="32" ht="30" customHeight="1" spans="1:11">
      <c r="A32" s="72" t="s">
        <v>699</v>
      </c>
      <c r="B32" s="72" t="s">
        <v>49</v>
      </c>
      <c r="C32" s="72" t="s">
        <v>706</v>
      </c>
      <c r="D32" s="73" t="s">
        <v>707</v>
      </c>
      <c r="E32" s="72" t="s">
        <v>132</v>
      </c>
      <c r="F32" s="74">
        <v>0</v>
      </c>
      <c r="G32" s="72" t="s">
        <v>69</v>
      </c>
      <c r="H32" s="72">
        <v>3276</v>
      </c>
      <c r="I32" s="114"/>
      <c r="J32" s="114"/>
      <c r="K32" s="96"/>
    </row>
    <row r="33" ht="30" customHeight="1" spans="1:11">
      <c r="A33" s="72" t="s">
        <v>699</v>
      </c>
      <c r="B33" s="72" t="s">
        <v>49</v>
      </c>
      <c r="C33" s="72" t="s">
        <v>708</v>
      </c>
      <c r="D33" s="73" t="s">
        <v>709</v>
      </c>
      <c r="E33" s="72" t="s">
        <v>132</v>
      </c>
      <c r="F33" s="74">
        <v>0</v>
      </c>
      <c r="G33" s="72" t="s">
        <v>69</v>
      </c>
      <c r="H33" s="72">
        <v>5110</v>
      </c>
      <c r="I33" s="114"/>
      <c r="J33" s="114"/>
      <c r="K33" s="96"/>
    </row>
    <row r="34" ht="30" customHeight="1" spans="1:11">
      <c r="A34" s="72" t="s">
        <v>699</v>
      </c>
      <c r="B34" s="72" t="s">
        <v>49</v>
      </c>
      <c r="C34" s="74" t="s">
        <v>710</v>
      </c>
      <c r="D34" s="284" t="s">
        <v>711</v>
      </c>
      <c r="E34" s="74" t="s">
        <v>132</v>
      </c>
      <c r="F34" s="74">
        <v>0</v>
      </c>
      <c r="G34" s="74" t="s">
        <v>69</v>
      </c>
      <c r="H34" s="72" t="s">
        <v>143</v>
      </c>
      <c r="I34" s="238"/>
      <c r="J34" s="96"/>
      <c r="K34" s="103"/>
    </row>
    <row r="35" ht="30" customHeight="1" spans="1:11">
      <c r="A35" s="72" t="s">
        <v>699</v>
      </c>
      <c r="B35" s="72" t="s">
        <v>49</v>
      </c>
      <c r="C35" s="74" t="s">
        <v>712</v>
      </c>
      <c r="D35" s="284" t="s">
        <v>713</v>
      </c>
      <c r="E35" s="74" t="s">
        <v>132</v>
      </c>
      <c r="F35" s="74">
        <v>0</v>
      </c>
      <c r="G35" s="74" t="s">
        <v>69</v>
      </c>
      <c r="H35" s="72" t="s">
        <v>143</v>
      </c>
      <c r="I35" s="238"/>
      <c r="J35" s="96"/>
      <c r="K35" s="103"/>
    </row>
    <row r="36" ht="30" customHeight="1" spans="1:11">
      <c r="A36" s="72" t="s">
        <v>699</v>
      </c>
      <c r="B36" s="72" t="s">
        <v>49</v>
      </c>
      <c r="C36" s="72" t="s">
        <v>714</v>
      </c>
      <c r="D36" s="76" t="s">
        <v>715</v>
      </c>
      <c r="E36" s="72" t="s">
        <v>132</v>
      </c>
      <c r="F36" s="74">
        <v>1</v>
      </c>
      <c r="G36" s="72" t="s">
        <v>65</v>
      </c>
      <c r="H36" s="72">
        <v>193</v>
      </c>
      <c r="I36" s="114"/>
      <c r="J36" s="114"/>
      <c r="K36" s="95"/>
    </row>
    <row r="37" ht="30" customHeight="1" spans="1:11">
      <c r="A37" s="72" t="s">
        <v>699</v>
      </c>
      <c r="B37" s="72" t="s">
        <v>49</v>
      </c>
      <c r="C37" s="72" t="s">
        <v>716</v>
      </c>
      <c r="D37" s="73" t="s">
        <v>717</v>
      </c>
      <c r="E37" s="72" t="s">
        <v>132</v>
      </c>
      <c r="F37" s="74">
        <v>0</v>
      </c>
      <c r="G37" s="72" t="s">
        <v>69</v>
      </c>
      <c r="H37" s="72">
        <v>2324</v>
      </c>
      <c r="I37" s="114"/>
      <c r="J37" s="114"/>
      <c r="K37" s="96"/>
    </row>
    <row r="38" ht="30" customHeight="1" spans="1:11">
      <c r="A38" s="72" t="s">
        <v>699</v>
      </c>
      <c r="B38" s="72" t="s">
        <v>49</v>
      </c>
      <c r="C38" s="219" t="s">
        <v>718</v>
      </c>
      <c r="D38" s="73" t="s">
        <v>719</v>
      </c>
      <c r="E38" s="74" t="s">
        <v>132</v>
      </c>
      <c r="F38" s="74">
        <v>0</v>
      </c>
      <c r="G38" s="74" t="s">
        <v>65</v>
      </c>
      <c r="H38" s="72">
        <v>4354</v>
      </c>
      <c r="I38" s="114"/>
      <c r="J38" s="96"/>
      <c r="K38" s="103"/>
    </row>
    <row r="39" ht="30" customHeight="1" spans="1:11">
      <c r="A39" s="72" t="s">
        <v>699</v>
      </c>
      <c r="B39" s="72" t="s">
        <v>49</v>
      </c>
      <c r="C39" s="72" t="s">
        <v>720</v>
      </c>
      <c r="D39" s="73" t="s">
        <v>721</v>
      </c>
      <c r="E39" s="72" t="s">
        <v>132</v>
      </c>
      <c r="F39" s="74">
        <v>0</v>
      </c>
      <c r="G39" s="72" t="s">
        <v>69</v>
      </c>
      <c r="H39" s="72">
        <v>6328</v>
      </c>
      <c r="I39" s="114"/>
      <c r="J39" s="114"/>
      <c r="K39" s="96"/>
    </row>
    <row r="40" ht="30" customHeight="1" spans="1:11">
      <c r="A40" s="72" t="s">
        <v>699</v>
      </c>
      <c r="B40" s="72" t="s">
        <v>49</v>
      </c>
      <c r="C40" s="72" t="s">
        <v>722</v>
      </c>
      <c r="D40" s="76" t="s">
        <v>723</v>
      </c>
      <c r="E40" s="72" t="s">
        <v>132</v>
      </c>
      <c r="F40" s="74">
        <v>0</v>
      </c>
      <c r="G40" s="72" t="s">
        <v>69</v>
      </c>
      <c r="H40" s="72">
        <v>9856</v>
      </c>
      <c r="I40" s="114"/>
      <c r="J40" s="114"/>
      <c r="K40" s="95"/>
    </row>
    <row r="41" ht="30" customHeight="1" spans="1:11">
      <c r="A41" s="72" t="s">
        <v>699</v>
      </c>
      <c r="B41" s="72" t="s">
        <v>49</v>
      </c>
      <c r="C41" s="74" t="s">
        <v>724</v>
      </c>
      <c r="D41" s="284" t="s">
        <v>725</v>
      </c>
      <c r="E41" s="74" t="s">
        <v>132</v>
      </c>
      <c r="F41" s="74">
        <v>0</v>
      </c>
      <c r="G41" s="74" t="s">
        <v>69</v>
      </c>
      <c r="H41" s="72" t="s">
        <v>143</v>
      </c>
      <c r="I41" s="238"/>
      <c r="J41" s="96"/>
      <c r="K41" s="103"/>
    </row>
    <row r="42" ht="30" customHeight="1" spans="1:11">
      <c r="A42" s="72" t="s">
        <v>699</v>
      </c>
      <c r="B42" s="72" t="s">
        <v>49</v>
      </c>
      <c r="C42" s="88" t="s">
        <v>726</v>
      </c>
      <c r="D42" s="284" t="s">
        <v>727</v>
      </c>
      <c r="E42" s="74" t="s">
        <v>132</v>
      </c>
      <c r="F42" s="74">
        <v>0</v>
      </c>
      <c r="G42" s="74" t="s">
        <v>69</v>
      </c>
      <c r="H42" s="72" t="s">
        <v>143</v>
      </c>
      <c r="I42" s="238"/>
      <c r="J42" s="96"/>
      <c r="K42" s="103"/>
    </row>
    <row r="43" spans="1:11">
      <c r="A43" s="63"/>
      <c r="B43" s="63"/>
      <c r="C43" s="63"/>
      <c r="D43" s="63"/>
      <c r="E43" s="63"/>
      <c r="F43" s="63"/>
      <c r="G43" s="63"/>
      <c r="H43" s="63"/>
      <c r="I43" s="63"/>
      <c r="J43" s="63"/>
    </row>
    <row r="44" spans="1:11">
      <c r="A44" s="63"/>
      <c r="B44" s="63"/>
      <c r="C44" s="63"/>
      <c r="D44" s="63"/>
      <c r="E44" s="63"/>
      <c r="F44" s="63"/>
      <c r="G44" s="63"/>
      <c r="H44" s="63"/>
      <c r="I44" s="63"/>
      <c r="J44" s="63"/>
    </row>
    <row r="45" spans="1:11">
      <c r="A45" s="63"/>
      <c r="B45" s="63"/>
      <c r="C45" s="63"/>
      <c r="D45" s="63"/>
      <c r="E45" s="63"/>
      <c r="F45" s="63"/>
      <c r="G45" s="63"/>
      <c r="H45" s="63"/>
      <c r="I45" s="63"/>
      <c r="J45" s="63"/>
    </row>
    <row r="46" spans="1:11">
      <c r="A46" s="63"/>
      <c r="B46" s="63"/>
      <c r="C46" s="63"/>
      <c r="D46" s="63"/>
      <c r="E46" s="63"/>
      <c r="F46" s="63"/>
      <c r="G46" s="63"/>
      <c r="H46" s="63"/>
      <c r="I46" s="63"/>
      <c r="J46" s="63"/>
    </row>
    <row r="47" spans="1:11">
      <c r="A47" s="63"/>
      <c r="B47" s="63"/>
      <c r="C47" s="63"/>
      <c r="D47" s="63"/>
      <c r="E47" s="63"/>
      <c r="F47" s="63"/>
      <c r="G47" s="63"/>
      <c r="H47" s="63"/>
      <c r="I47" s="63"/>
      <c r="J47" s="63"/>
    </row>
    <row r="48" spans="1:11">
      <c r="A48" s="63"/>
      <c r="B48" s="63"/>
      <c r="C48" s="63"/>
      <c r="D48" s="63"/>
      <c r="E48" s="63"/>
      <c r="F48" s="63"/>
      <c r="G48" s="63"/>
      <c r="H48" s="63"/>
      <c r="I48" s="63"/>
      <c r="J48" s="63"/>
    </row>
  </sheetData>
  <autoFilter xmlns:etc="http://www.wps.cn/officeDocument/2017/etCustomData" ref="A1:J48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6860Worldwide Price List - February 2015&amp;RAs of 02/09/2015</oddHeader>
    <oddFooter>&amp;CAlcatel-Lucent - Enterprise Solutions Division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38"/>
  <sheetViews>
    <sheetView workbookViewId="0">
      <pane ySplit="1" topLeftCell="A5" activePane="bottomLeft" state="frozen"/>
      <selection/>
      <selection pane="bottomLeft" activeCell="K2" sqref="K2"/>
    </sheetView>
  </sheetViews>
  <sheetFormatPr defaultColWidth="9" defaultRowHeight="12.75"/>
  <cols>
    <col min="1" max="1" width="33.6637168141593" style="290" customWidth="1"/>
    <col min="2" max="2" width="16.1681415929204" style="269" customWidth="1"/>
    <col min="3" max="3" width="19" style="290" customWidth="1"/>
    <col min="4" max="4" width="64.5044247787611" style="291" customWidth="1"/>
    <col min="5" max="6" width="9" style="290" customWidth="1"/>
    <col min="7" max="7" width="15" style="290" customWidth="1"/>
    <col min="8" max="8" width="14.3362831858407" style="290" customWidth="1"/>
    <col min="9" max="9" width="15.3362831858407" style="290" customWidth="1"/>
    <col min="10" max="10" width="14.3362831858407" style="292" customWidth="1"/>
    <col min="11" max="11" width="19.5044247787611" style="290" customWidth="1"/>
    <col min="12" max="12" width="10.3362831858407" style="290" customWidth="1"/>
    <col min="13" max="16384" width="9" style="290"/>
  </cols>
  <sheetData>
    <row r="1" spans="1:12">
      <c r="A1" s="91" t="s">
        <v>50</v>
      </c>
      <c r="B1" s="91" t="s">
        <v>48</v>
      </c>
      <c r="C1" s="91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60" customHeight="1" spans="1:12">
      <c r="A2" s="293" t="s">
        <v>728</v>
      </c>
      <c r="B2" s="72" t="s">
        <v>37</v>
      </c>
      <c r="C2" s="293" t="s">
        <v>729</v>
      </c>
      <c r="D2" s="294" t="s">
        <v>730</v>
      </c>
      <c r="E2" s="295" t="s">
        <v>444</v>
      </c>
      <c r="F2" s="295">
        <v>1</v>
      </c>
      <c r="G2" s="296" t="s">
        <v>69</v>
      </c>
      <c r="H2" s="280">
        <v>190181</v>
      </c>
      <c r="I2" s="297"/>
      <c r="J2" s="298" t="s">
        <v>285</v>
      </c>
      <c r="K2" s="100" t="s">
        <v>731</v>
      </c>
      <c r="L2" s="299"/>
    </row>
    <row r="3" ht="60" customHeight="1" spans="1:12">
      <c r="A3" s="293" t="s">
        <v>728</v>
      </c>
      <c r="B3" s="72" t="s">
        <v>37</v>
      </c>
      <c r="C3" s="293" t="s">
        <v>732</v>
      </c>
      <c r="D3" s="294" t="s">
        <v>733</v>
      </c>
      <c r="E3" s="295" t="s">
        <v>444</v>
      </c>
      <c r="F3" s="295">
        <v>1</v>
      </c>
      <c r="G3" s="296" t="s">
        <v>69</v>
      </c>
      <c r="H3" s="280">
        <v>112298</v>
      </c>
      <c r="I3" s="297"/>
      <c r="J3" s="298" t="s">
        <v>285</v>
      </c>
      <c r="K3" s="100" t="s">
        <v>731</v>
      </c>
      <c r="L3" s="299"/>
    </row>
    <row r="4" ht="60" customHeight="1" spans="1:12">
      <c r="A4" s="293" t="s">
        <v>728</v>
      </c>
      <c r="B4" s="72" t="s">
        <v>37</v>
      </c>
      <c r="C4" s="293" t="s">
        <v>734</v>
      </c>
      <c r="D4" s="300" t="s">
        <v>735</v>
      </c>
      <c r="E4" s="295" t="s">
        <v>444</v>
      </c>
      <c r="F4" s="295">
        <v>1</v>
      </c>
      <c r="G4" s="296" t="s">
        <v>69</v>
      </c>
      <c r="H4" s="280">
        <v>119905</v>
      </c>
      <c r="I4" s="297"/>
      <c r="J4" s="298" t="s">
        <v>285</v>
      </c>
      <c r="K4" s="100" t="s">
        <v>731</v>
      </c>
      <c r="L4" s="299"/>
    </row>
    <row r="5" ht="45" customHeight="1" spans="1:12">
      <c r="A5" s="293" t="s">
        <v>728</v>
      </c>
      <c r="B5" s="72" t="s">
        <v>37</v>
      </c>
      <c r="C5" s="293" t="s">
        <v>736</v>
      </c>
      <c r="D5" s="300" t="s">
        <v>737</v>
      </c>
      <c r="E5" s="295" t="s">
        <v>444</v>
      </c>
      <c r="F5" s="295">
        <v>1</v>
      </c>
      <c r="G5" s="296" t="s">
        <v>69</v>
      </c>
      <c r="H5" s="280">
        <v>197426</v>
      </c>
      <c r="I5" s="297"/>
      <c r="J5" s="298" t="s">
        <v>285</v>
      </c>
      <c r="K5" s="100" t="s">
        <v>731</v>
      </c>
      <c r="L5" s="299"/>
    </row>
    <row r="6" ht="60" customHeight="1" spans="1:12">
      <c r="A6" s="293" t="s">
        <v>728</v>
      </c>
      <c r="B6" s="72" t="s">
        <v>37</v>
      </c>
      <c r="C6" s="293" t="s">
        <v>738</v>
      </c>
      <c r="D6" s="300" t="s">
        <v>739</v>
      </c>
      <c r="E6" s="295" t="s">
        <v>444</v>
      </c>
      <c r="F6" s="295">
        <v>1</v>
      </c>
      <c r="G6" s="296" t="s">
        <v>69</v>
      </c>
      <c r="H6" s="280">
        <v>219161</v>
      </c>
      <c r="I6" s="297"/>
      <c r="J6" s="298" t="s">
        <v>285</v>
      </c>
      <c r="K6" s="100" t="s">
        <v>731</v>
      </c>
      <c r="L6" s="299"/>
    </row>
    <row r="7" ht="16" customHeight="1" spans="1:12">
      <c r="A7" s="99" t="s">
        <v>740</v>
      </c>
      <c r="B7" s="72" t="s">
        <v>48</v>
      </c>
      <c r="C7" s="99" t="s">
        <v>741</v>
      </c>
      <c r="D7" s="300" t="s">
        <v>742</v>
      </c>
      <c r="E7" s="295" t="s">
        <v>444</v>
      </c>
      <c r="F7" s="295">
        <v>0</v>
      </c>
      <c r="G7" s="296" t="s">
        <v>69</v>
      </c>
      <c r="H7" s="280">
        <v>13593</v>
      </c>
      <c r="I7" s="297"/>
      <c r="J7" s="298" t="s">
        <v>285</v>
      </c>
      <c r="K7" s="301"/>
      <c r="L7" s="299"/>
    </row>
    <row r="8" ht="16" customHeight="1" spans="1:12">
      <c r="A8" s="99" t="s">
        <v>740</v>
      </c>
      <c r="B8" s="72" t="s">
        <v>48</v>
      </c>
      <c r="C8" s="99" t="s">
        <v>743</v>
      </c>
      <c r="D8" s="300" t="s">
        <v>744</v>
      </c>
      <c r="E8" s="295" t="s">
        <v>444</v>
      </c>
      <c r="F8" s="295">
        <v>0</v>
      </c>
      <c r="G8" s="296" t="s">
        <v>69</v>
      </c>
      <c r="H8" s="280">
        <v>12230</v>
      </c>
      <c r="I8" s="297"/>
      <c r="J8" s="298" t="s">
        <v>285</v>
      </c>
      <c r="K8" s="301"/>
      <c r="L8" s="299"/>
    </row>
    <row r="9" ht="16" customHeight="1" spans="1:12">
      <c r="A9" s="99" t="s">
        <v>740</v>
      </c>
      <c r="B9" s="72" t="s">
        <v>48</v>
      </c>
      <c r="C9" s="99" t="s">
        <v>745</v>
      </c>
      <c r="D9" s="300" t="s">
        <v>746</v>
      </c>
      <c r="E9" s="295" t="s">
        <v>444</v>
      </c>
      <c r="F9" s="295">
        <v>0</v>
      </c>
      <c r="G9" s="296" t="s">
        <v>69</v>
      </c>
      <c r="H9" s="280">
        <v>4088</v>
      </c>
      <c r="I9" s="297"/>
      <c r="J9" s="298" t="s">
        <v>285</v>
      </c>
      <c r="K9" s="301"/>
      <c r="L9" s="299"/>
    </row>
    <row r="10" ht="16" customHeight="1" spans="1:12">
      <c r="A10" s="99" t="s">
        <v>740</v>
      </c>
      <c r="B10" s="72" t="s">
        <v>48</v>
      </c>
      <c r="C10" s="99" t="s">
        <v>747</v>
      </c>
      <c r="D10" s="300" t="s">
        <v>748</v>
      </c>
      <c r="E10" s="295" t="s">
        <v>444</v>
      </c>
      <c r="F10" s="295">
        <v>0</v>
      </c>
      <c r="G10" s="296" t="s">
        <v>69</v>
      </c>
      <c r="H10" s="280">
        <v>21735</v>
      </c>
      <c r="I10" s="297"/>
      <c r="J10" s="298" t="s">
        <v>285</v>
      </c>
      <c r="K10" s="301"/>
      <c r="L10" s="299"/>
    </row>
    <row r="11" ht="16" customHeight="1" spans="1:12">
      <c r="A11" s="99" t="s">
        <v>740</v>
      </c>
      <c r="B11" s="72" t="s">
        <v>48</v>
      </c>
      <c r="C11" s="99" t="s">
        <v>749</v>
      </c>
      <c r="D11" s="300" t="s">
        <v>750</v>
      </c>
      <c r="E11" s="295" t="s">
        <v>444</v>
      </c>
      <c r="F11" s="295">
        <v>0</v>
      </c>
      <c r="G11" s="296" t="s">
        <v>69</v>
      </c>
      <c r="H11" s="280">
        <v>16301</v>
      </c>
      <c r="I11" s="297"/>
      <c r="J11" s="298" t="s">
        <v>285</v>
      </c>
      <c r="K11" s="301"/>
      <c r="L11" s="299"/>
    </row>
    <row r="12" ht="16" customHeight="1" spans="1:12">
      <c r="A12" s="99" t="s">
        <v>740</v>
      </c>
      <c r="B12" s="72" t="s">
        <v>48</v>
      </c>
      <c r="C12" s="99" t="s">
        <v>751</v>
      </c>
      <c r="D12" s="300" t="s">
        <v>752</v>
      </c>
      <c r="E12" s="295" t="s">
        <v>444</v>
      </c>
      <c r="F12" s="295">
        <v>0</v>
      </c>
      <c r="G12" s="296" t="s">
        <v>69</v>
      </c>
      <c r="H12" s="280">
        <v>16301</v>
      </c>
      <c r="I12" s="297"/>
      <c r="J12" s="298" t="s">
        <v>285</v>
      </c>
      <c r="K12" s="301"/>
      <c r="L12" s="299"/>
    </row>
    <row r="13" ht="16" customHeight="1" spans="1:12">
      <c r="A13" s="99" t="s">
        <v>740</v>
      </c>
      <c r="B13" s="72" t="s">
        <v>48</v>
      </c>
      <c r="C13" s="99" t="s">
        <v>753</v>
      </c>
      <c r="D13" s="300" t="s">
        <v>754</v>
      </c>
      <c r="E13" s="295" t="s">
        <v>444</v>
      </c>
      <c r="F13" s="295">
        <v>0</v>
      </c>
      <c r="G13" s="296" t="s">
        <v>69</v>
      </c>
      <c r="H13" s="280">
        <v>21735</v>
      </c>
      <c r="I13" s="297"/>
      <c r="J13" s="298" t="s">
        <v>285</v>
      </c>
      <c r="K13" s="301"/>
      <c r="L13" s="299"/>
    </row>
    <row r="14" ht="16" customHeight="1" spans="1:12">
      <c r="A14" s="99" t="s">
        <v>740</v>
      </c>
      <c r="B14" s="72" t="s">
        <v>48</v>
      </c>
      <c r="C14" s="99" t="s">
        <v>755</v>
      </c>
      <c r="D14" s="300" t="s">
        <v>756</v>
      </c>
      <c r="E14" s="295" t="s">
        <v>444</v>
      </c>
      <c r="F14" s="295">
        <v>0</v>
      </c>
      <c r="G14" s="296" t="s">
        <v>69</v>
      </c>
      <c r="H14" s="280">
        <v>18475</v>
      </c>
      <c r="I14" s="297"/>
      <c r="J14" s="298" t="s">
        <v>285</v>
      </c>
      <c r="K14" s="301"/>
      <c r="L14" s="299"/>
    </row>
    <row r="15" ht="16" customHeight="1" spans="1:12">
      <c r="A15" s="99" t="s">
        <v>740</v>
      </c>
      <c r="B15" s="72" t="s">
        <v>48</v>
      </c>
      <c r="C15" s="99" t="s">
        <v>757</v>
      </c>
      <c r="D15" s="300" t="s">
        <v>758</v>
      </c>
      <c r="E15" s="295" t="s">
        <v>444</v>
      </c>
      <c r="F15" s="295">
        <v>0</v>
      </c>
      <c r="G15" s="296" t="s">
        <v>69</v>
      </c>
      <c r="H15" s="280">
        <v>18475</v>
      </c>
      <c r="I15" s="297"/>
      <c r="J15" s="298" t="s">
        <v>285</v>
      </c>
      <c r="K15" s="301"/>
      <c r="L15" s="299"/>
    </row>
    <row r="16" ht="16" customHeight="1" spans="1:12">
      <c r="A16" s="99" t="s">
        <v>740</v>
      </c>
      <c r="B16" s="72" t="s">
        <v>48</v>
      </c>
      <c r="C16" s="99" t="s">
        <v>759</v>
      </c>
      <c r="D16" s="300" t="s">
        <v>760</v>
      </c>
      <c r="E16" s="295" t="s">
        <v>444</v>
      </c>
      <c r="F16" s="295">
        <v>0</v>
      </c>
      <c r="G16" s="296" t="s">
        <v>69</v>
      </c>
      <c r="H16" s="280">
        <v>16991</v>
      </c>
      <c r="I16" s="297"/>
      <c r="J16" s="298" t="s">
        <v>285</v>
      </c>
      <c r="K16" s="301"/>
      <c r="L16" s="299"/>
    </row>
    <row r="17" ht="30" customHeight="1" spans="1:12">
      <c r="A17" s="293" t="s">
        <v>761</v>
      </c>
      <c r="B17" s="72" t="s">
        <v>25</v>
      </c>
      <c r="C17" s="293" t="s">
        <v>762</v>
      </c>
      <c r="D17" s="294" t="s">
        <v>763</v>
      </c>
      <c r="E17" s="295" t="s">
        <v>444</v>
      </c>
      <c r="F17" s="295">
        <v>1</v>
      </c>
      <c r="G17" s="296" t="s">
        <v>69</v>
      </c>
      <c r="H17" s="280">
        <v>21735</v>
      </c>
      <c r="I17" s="297"/>
      <c r="J17" s="298" t="s">
        <v>285</v>
      </c>
      <c r="K17" s="301"/>
      <c r="L17" s="299"/>
    </row>
    <row r="18" ht="30" customHeight="1" spans="1:12">
      <c r="A18" s="293" t="s">
        <v>761</v>
      </c>
      <c r="B18" s="72" t="s">
        <v>25</v>
      </c>
      <c r="C18" s="293" t="s">
        <v>764</v>
      </c>
      <c r="D18" s="294" t="s">
        <v>765</v>
      </c>
      <c r="E18" s="295" t="s">
        <v>444</v>
      </c>
      <c r="F18" s="295">
        <v>1</v>
      </c>
      <c r="G18" s="296" t="s">
        <v>69</v>
      </c>
      <c r="H18" s="280">
        <v>21735</v>
      </c>
      <c r="I18" s="297"/>
      <c r="J18" s="298" t="s">
        <v>285</v>
      </c>
      <c r="K18" s="301"/>
      <c r="L18" s="299"/>
    </row>
    <row r="19" ht="30" customHeight="1" spans="1:12">
      <c r="A19" s="293" t="s">
        <v>761</v>
      </c>
      <c r="B19" s="72" t="s">
        <v>25</v>
      </c>
      <c r="C19" s="293" t="s">
        <v>766</v>
      </c>
      <c r="D19" s="294" t="s">
        <v>767</v>
      </c>
      <c r="E19" s="295" t="s">
        <v>444</v>
      </c>
      <c r="F19" s="295">
        <v>1</v>
      </c>
      <c r="G19" s="296" t="s">
        <v>69</v>
      </c>
      <c r="H19" s="280">
        <v>27721</v>
      </c>
      <c r="I19" s="297"/>
      <c r="J19" s="298" t="s">
        <v>285</v>
      </c>
      <c r="K19" s="301"/>
      <c r="L19" s="299"/>
    </row>
    <row r="20" ht="30" customHeight="1" spans="1:12">
      <c r="A20" s="293" t="s">
        <v>761</v>
      </c>
      <c r="B20" s="72" t="s">
        <v>25</v>
      </c>
      <c r="C20" s="293" t="s">
        <v>768</v>
      </c>
      <c r="D20" s="294" t="s">
        <v>769</v>
      </c>
      <c r="E20" s="295" t="s">
        <v>444</v>
      </c>
      <c r="F20" s="295">
        <v>1</v>
      </c>
      <c r="G20" s="296" t="s">
        <v>69</v>
      </c>
      <c r="H20" s="280">
        <v>7607</v>
      </c>
      <c r="I20" s="297"/>
      <c r="J20" s="298" t="s">
        <v>285</v>
      </c>
      <c r="K20" s="301"/>
      <c r="L20" s="299"/>
    </row>
    <row r="21" ht="45" customHeight="1" spans="1:12">
      <c r="A21" s="293" t="s">
        <v>761</v>
      </c>
      <c r="B21" s="72" t="s">
        <v>25</v>
      </c>
      <c r="C21" s="293" t="s">
        <v>770</v>
      </c>
      <c r="D21" s="294" t="s">
        <v>771</v>
      </c>
      <c r="E21" s="295" t="s">
        <v>444</v>
      </c>
      <c r="F21" s="295">
        <v>1</v>
      </c>
      <c r="G21" s="296" t="s">
        <v>69</v>
      </c>
      <c r="H21" s="280">
        <v>7607</v>
      </c>
      <c r="I21" s="297"/>
      <c r="J21" s="298" t="s">
        <v>285</v>
      </c>
      <c r="K21" s="301"/>
      <c r="L21" s="299"/>
    </row>
    <row r="22" ht="30" customHeight="1" spans="1:12">
      <c r="A22" s="293" t="s">
        <v>761</v>
      </c>
      <c r="B22" s="72" t="s">
        <v>25</v>
      </c>
      <c r="C22" s="293" t="s">
        <v>772</v>
      </c>
      <c r="D22" s="294" t="s">
        <v>773</v>
      </c>
      <c r="E22" s="295" t="s">
        <v>444</v>
      </c>
      <c r="F22" s="295">
        <v>1</v>
      </c>
      <c r="G22" s="296" t="s">
        <v>69</v>
      </c>
      <c r="H22" s="280">
        <v>19096</v>
      </c>
      <c r="I22" s="297"/>
      <c r="J22" s="298" t="s">
        <v>285</v>
      </c>
      <c r="K22" s="301"/>
      <c r="L22" s="299"/>
    </row>
    <row r="23" ht="45" customHeight="1" spans="1:12">
      <c r="A23" s="293" t="s">
        <v>761</v>
      </c>
      <c r="B23" s="72" t="s">
        <v>25</v>
      </c>
      <c r="C23" s="293" t="s">
        <v>774</v>
      </c>
      <c r="D23" s="294" t="s">
        <v>775</v>
      </c>
      <c r="E23" s="295" t="s">
        <v>444</v>
      </c>
      <c r="F23" s="295">
        <v>1</v>
      </c>
      <c r="G23" s="296" t="s">
        <v>69</v>
      </c>
      <c r="H23" s="280">
        <v>19096</v>
      </c>
      <c r="I23" s="297"/>
      <c r="J23" s="298" t="s">
        <v>285</v>
      </c>
      <c r="K23" s="301"/>
      <c r="L23" s="299"/>
    </row>
    <row r="24" ht="30" customHeight="1" spans="1:12">
      <c r="A24" s="293" t="s">
        <v>776</v>
      </c>
      <c r="B24" s="72" t="s">
        <v>49</v>
      </c>
      <c r="C24" s="293" t="s">
        <v>777</v>
      </c>
      <c r="D24" s="76" t="s">
        <v>778</v>
      </c>
      <c r="E24" s="295" t="s">
        <v>132</v>
      </c>
      <c r="F24" s="295">
        <v>0</v>
      </c>
      <c r="G24" s="296" t="s">
        <v>65</v>
      </c>
      <c r="H24" s="280">
        <v>1540</v>
      </c>
      <c r="I24" s="297"/>
      <c r="J24" s="298" t="s">
        <v>285</v>
      </c>
      <c r="K24" s="301"/>
      <c r="L24" s="299"/>
    </row>
    <row r="25" ht="30" customHeight="1" spans="1:12">
      <c r="A25" s="293" t="s">
        <v>776</v>
      </c>
      <c r="B25" s="72" t="s">
        <v>49</v>
      </c>
      <c r="C25" s="293" t="s">
        <v>779</v>
      </c>
      <c r="D25" s="76" t="s">
        <v>780</v>
      </c>
      <c r="E25" s="295" t="s">
        <v>132</v>
      </c>
      <c r="F25" s="295">
        <v>0</v>
      </c>
      <c r="G25" s="296" t="s">
        <v>65</v>
      </c>
      <c r="H25" s="280">
        <v>2884</v>
      </c>
      <c r="I25" s="297"/>
      <c r="J25" s="298" t="s">
        <v>285</v>
      </c>
      <c r="K25" s="301"/>
      <c r="L25" s="299"/>
    </row>
    <row r="26" ht="30" customHeight="1" spans="1:12">
      <c r="A26" s="293" t="s">
        <v>776</v>
      </c>
      <c r="B26" s="72" t="s">
        <v>49</v>
      </c>
      <c r="C26" s="293" t="s">
        <v>781</v>
      </c>
      <c r="D26" s="76" t="s">
        <v>782</v>
      </c>
      <c r="E26" s="295" t="s">
        <v>132</v>
      </c>
      <c r="F26" s="295">
        <v>0</v>
      </c>
      <c r="G26" s="296" t="s">
        <v>65</v>
      </c>
      <c r="H26" s="280">
        <v>4186</v>
      </c>
      <c r="I26" s="297"/>
      <c r="J26" s="298" t="s">
        <v>285</v>
      </c>
      <c r="K26" s="301"/>
      <c r="L26" s="299"/>
    </row>
    <row r="27" ht="30" customHeight="1" spans="1:12">
      <c r="A27" s="293" t="s">
        <v>776</v>
      </c>
      <c r="B27" s="72" t="s">
        <v>49</v>
      </c>
      <c r="C27" s="293" t="s">
        <v>783</v>
      </c>
      <c r="D27" s="76" t="s">
        <v>784</v>
      </c>
      <c r="E27" s="295" t="s">
        <v>132</v>
      </c>
      <c r="F27" s="295">
        <v>0</v>
      </c>
      <c r="G27" s="296" t="s">
        <v>65</v>
      </c>
      <c r="H27" s="280">
        <v>6510</v>
      </c>
      <c r="I27" s="297"/>
      <c r="J27" s="298" t="s">
        <v>285</v>
      </c>
      <c r="K27" s="301"/>
      <c r="L27" s="299"/>
    </row>
    <row r="28" ht="30" customHeight="1" spans="1:12">
      <c r="A28" s="293" t="s">
        <v>776</v>
      </c>
      <c r="B28" s="72" t="s">
        <v>49</v>
      </c>
      <c r="C28" s="293" t="s">
        <v>785</v>
      </c>
      <c r="D28" s="76" t="s">
        <v>786</v>
      </c>
      <c r="E28" s="295" t="s">
        <v>132</v>
      </c>
      <c r="F28" s="295">
        <v>0</v>
      </c>
      <c r="G28" s="296" t="s">
        <v>65</v>
      </c>
      <c r="H28" s="280">
        <v>3066</v>
      </c>
      <c r="I28" s="297"/>
      <c r="J28" s="298" t="s">
        <v>285</v>
      </c>
      <c r="K28" s="301"/>
      <c r="L28" s="299"/>
    </row>
    <row r="29" ht="30" customHeight="1" spans="1:12">
      <c r="A29" s="293" t="s">
        <v>776</v>
      </c>
      <c r="B29" s="72" t="s">
        <v>49</v>
      </c>
      <c r="C29" s="293" t="s">
        <v>787</v>
      </c>
      <c r="D29" s="76" t="s">
        <v>788</v>
      </c>
      <c r="E29" s="295" t="s">
        <v>132</v>
      </c>
      <c r="F29" s="295">
        <v>0</v>
      </c>
      <c r="G29" s="296" t="s">
        <v>65</v>
      </c>
      <c r="H29" s="280">
        <v>5768</v>
      </c>
      <c r="I29" s="297"/>
      <c r="J29" s="298" t="s">
        <v>285</v>
      </c>
      <c r="K29" s="301"/>
      <c r="L29" s="299"/>
    </row>
    <row r="30" ht="30" customHeight="1" spans="1:12">
      <c r="A30" s="293" t="s">
        <v>776</v>
      </c>
      <c r="B30" s="72" t="s">
        <v>49</v>
      </c>
      <c r="C30" s="293" t="s">
        <v>789</v>
      </c>
      <c r="D30" s="76" t="s">
        <v>790</v>
      </c>
      <c r="E30" s="295" t="s">
        <v>132</v>
      </c>
      <c r="F30" s="295">
        <v>0</v>
      </c>
      <c r="G30" s="296" t="s">
        <v>65</v>
      </c>
      <c r="H30" s="280">
        <v>8372</v>
      </c>
      <c r="I30" s="297"/>
      <c r="J30" s="298" t="s">
        <v>285</v>
      </c>
      <c r="K30" s="301"/>
      <c r="L30" s="299"/>
    </row>
    <row r="31" ht="30" customHeight="1" spans="1:12">
      <c r="A31" s="293" t="s">
        <v>776</v>
      </c>
      <c r="B31" s="72" t="s">
        <v>49</v>
      </c>
      <c r="C31" s="293" t="s">
        <v>791</v>
      </c>
      <c r="D31" s="76" t="s">
        <v>792</v>
      </c>
      <c r="E31" s="295" t="s">
        <v>132</v>
      </c>
      <c r="F31" s="295">
        <v>0</v>
      </c>
      <c r="G31" s="296" t="s">
        <v>65</v>
      </c>
      <c r="H31" s="280">
        <v>13034</v>
      </c>
      <c r="I31" s="297"/>
      <c r="J31" s="298" t="s">
        <v>285</v>
      </c>
      <c r="K31" s="301"/>
      <c r="L31" s="299"/>
    </row>
    <row r="32" ht="30" customHeight="1" spans="1:12">
      <c r="A32" s="293" t="s">
        <v>776</v>
      </c>
      <c r="B32" s="72" t="s">
        <v>49</v>
      </c>
      <c r="C32" s="293" t="s">
        <v>793</v>
      </c>
      <c r="D32" s="76" t="s">
        <v>794</v>
      </c>
      <c r="E32" s="295" t="s">
        <v>132</v>
      </c>
      <c r="F32" s="295">
        <v>2</v>
      </c>
      <c r="G32" s="296" t="s">
        <v>69</v>
      </c>
      <c r="H32" s="280">
        <v>2296</v>
      </c>
      <c r="I32" s="297"/>
      <c r="J32" s="298" t="s">
        <v>285</v>
      </c>
      <c r="K32" s="301"/>
      <c r="L32" s="299"/>
    </row>
    <row r="33" ht="30" customHeight="1" spans="1:12">
      <c r="A33" s="293" t="s">
        <v>776</v>
      </c>
      <c r="B33" s="72" t="s">
        <v>49</v>
      </c>
      <c r="C33" s="293" t="s">
        <v>795</v>
      </c>
      <c r="D33" s="284" t="s">
        <v>796</v>
      </c>
      <c r="E33" s="295" t="s">
        <v>132</v>
      </c>
      <c r="F33" s="295">
        <v>2</v>
      </c>
      <c r="G33" s="296" t="s">
        <v>69</v>
      </c>
      <c r="H33" s="280" t="s">
        <v>143</v>
      </c>
      <c r="I33" s="297"/>
      <c r="J33" s="298" t="s">
        <v>285</v>
      </c>
      <c r="K33" s="301"/>
      <c r="L33" s="299"/>
    </row>
    <row r="34" ht="30" customHeight="1" spans="1:12">
      <c r="A34" s="293" t="s">
        <v>776</v>
      </c>
      <c r="B34" s="72" t="s">
        <v>49</v>
      </c>
      <c r="C34" s="293" t="s">
        <v>797</v>
      </c>
      <c r="D34" s="284" t="s">
        <v>798</v>
      </c>
      <c r="E34" s="295" t="s">
        <v>132</v>
      </c>
      <c r="F34" s="295">
        <v>2</v>
      </c>
      <c r="G34" s="296" t="s">
        <v>69</v>
      </c>
      <c r="H34" s="280" t="s">
        <v>143</v>
      </c>
      <c r="I34" s="297"/>
      <c r="J34" s="298" t="s">
        <v>285</v>
      </c>
      <c r="K34" s="301"/>
      <c r="L34" s="299"/>
    </row>
    <row r="35" ht="30" customHeight="1" spans="1:12">
      <c r="A35" s="293" t="s">
        <v>776</v>
      </c>
      <c r="B35" s="72" t="s">
        <v>49</v>
      </c>
      <c r="C35" s="293" t="s">
        <v>799</v>
      </c>
      <c r="D35" s="284" t="s">
        <v>800</v>
      </c>
      <c r="E35" s="295" t="s">
        <v>132</v>
      </c>
      <c r="F35" s="295">
        <v>2</v>
      </c>
      <c r="G35" s="296" t="s">
        <v>69</v>
      </c>
      <c r="H35" s="280" t="s">
        <v>143</v>
      </c>
      <c r="I35" s="297"/>
      <c r="J35" s="298" t="s">
        <v>285</v>
      </c>
      <c r="K35" s="301"/>
      <c r="L35" s="299"/>
    </row>
    <row r="36" ht="45" customHeight="1" spans="1:12">
      <c r="A36" s="293" t="s">
        <v>776</v>
      </c>
      <c r="B36" s="72" t="s">
        <v>49</v>
      </c>
      <c r="C36" s="293" t="s">
        <v>801</v>
      </c>
      <c r="D36" s="284" t="s">
        <v>802</v>
      </c>
      <c r="E36" s="295" t="s">
        <v>132</v>
      </c>
      <c r="F36" s="295">
        <v>2</v>
      </c>
      <c r="G36" s="296" t="s">
        <v>69</v>
      </c>
      <c r="H36" s="280" t="s">
        <v>143</v>
      </c>
      <c r="I36" s="297"/>
      <c r="J36" s="298" t="s">
        <v>285</v>
      </c>
      <c r="K36" s="301"/>
      <c r="L36" s="299"/>
    </row>
    <row r="37" ht="30" customHeight="1" spans="1:12">
      <c r="A37" s="293" t="s">
        <v>776</v>
      </c>
      <c r="B37" s="72" t="s">
        <v>49</v>
      </c>
      <c r="C37" s="293" t="s">
        <v>803</v>
      </c>
      <c r="D37" s="76" t="s">
        <v>804</v>
      </c>
      <c r="E37" s="295" t="s">
        <v>132</v>
      </c>
      <c r="F37" s="295">
        <v>1</v>
      </c>
      <c r="G37" s="296" t="s">
        <v>65</v>
      </c>
      <c r="H37" s="280">
        <v>126</v>
      </c>
      <c r="I37" s="297"/>
      <c r="J37" s="298" t="s">
        <v>285</v>
      </c>
      <c r="K37" s="301"/>
      <c r="L37" s="299"/>
    </row>
    <row r="38" ht="30" customHeight="1" spans="1:12">
      <c r="A38" s="293" t="s">
        <v>776</v>
      </c>
      <c r="B38" s="72" t="s">
        <v>49</v>
      </c>
      <c r="C38" s="293" t="s">
        <v>805</v>
      </c>
      <c r="D38" s="76" t="s">
        <v>806</v>
      </c>
      <c r="E38" s="295" t="s">
        <v>132</v>
      </c>
      <c r="F38" s="295">
        <v>1</v>
      </c>
      <c r="G38" s="296" t="s">
        <v>65</v>
      </c>
      <c r="H38" s="280">
        <v>252</v>
      </c>
      <c r="I38" s="297"/>
      <c r="J38" s="298" t="s">
        <v>285</v>
      </c>
      <c r="K38" s="301"/>
      <c r="L38" s="299"/>
    </row>
  </sheetData>
  <autoFilter xmlns:etc="http://www.wps.cn/officeDocument/2017/etCustomData" ref="A1:J38" etc:filterBottomFollowUsedRange="0">
    <extLst/>
  </autoFilter>
  <conditionalFormatting sqref="C7:C16">
    <cfRule type="duplicateValues" dxfId="0" priority="1"/>
  </conditionalFormatting>
  <conditionalFormatting sqref="C2:C6 C17:C38">
    <cfRule type="duplicateValues" dxfId="0" priority="27"/>
  </conditionalFormatting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5"/>
  <sheetViews>
    <sheetView workbookViewId="0">
      <pane ySplit="1" topLeftCell="A2" activePane="bottomLeft" state="frozen"/>
      <selection/>
      <selection pane="bottomLeft" activeCell="Q5" sqref="Q5"/>
    </sheetView>
  </sheetViews>
  <sheetFormatPr defaultColWidth="9.16814159292035" defaultRowHeight="12.75"/>
  <cols>
    <col min="1" max="1" width="28.6637168141593" style="269" customWidth="1"/>
    <col min="2" max="2" width="16.1681415929204" style="269" customWidth="1"/>
    <col min="3" max="3" width="17.1681415929204" style="270" customWidth="1"/>
    <col min="4" max="4" width="64.1681415929203" style="269" customWidth="1"/>
    <col min="5" max="6" width="9.16814159292035" style="269" customWidth="1"/>
    <col min="7" max="7" width="15" style="269" customWidth="1"/>
    <col min="8" max="8" width="14.1681415929204" style="272" customWidth="1"/>
    <col min="9" max="9" width="15.1681415929204" style="269" customWidth="1"/>
    <col min="10" max="10" width="15.6637168141593" style="272" customWidth="1"/>
    <col min="11" max="11" width="16.1681415929204" style="269" customWidth="1"/>
    <col min="12" max="12" width="9.16814159292035" style="269" customWidth="1"/>
    <col min="13" max="16384" width="9.16814159292035" style="269"/>
  </cols>
  <sheetData>
    <row r="1" spans="1:12">
      <c r="A1" s="91" t="s">
        <v>50</v>
      </c>
      <c r="B1" s="91" t="s">
        <v>51</v>
      </c>
      <c r="C1" s="91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60" customHeight="1" spans="1:12">
      <c r="A2" s="172" t="s">
        <v>807</v>
      </c>
      <c r="B2" s="72" t="s">
        <v>37</v>
      </c>
      <c r="C2" s="172" t="s">
        <v>808</v>
      </c>
      <c r="D2" s="213" t="s">
        <v>809</v>
      </c>
      <c r="E2" s="172" t="s">
        <v>444</v>
      </c>
      <c r="F2" s="286">
        <v>2</v>
      </c>
      <c r="G2" s="122" t="s">
        <v>69</v>
      </c>
      <c r="H2" s="275">
        <v>35794</v>
      </c>
      <c r="I2" s="206"/>
      <c r="J2" s="100"/>
      <c r="K2" s="279"/>
    </row>
    <row r="3" ht="60" customHeight="1" spans="1:12">
      <c r="A3" s="172" t="s">
        <v>807</v>
      </c>
      <c r="B3" s="72" t="s">
        <v>37</v>
      </c>
      <c r="C3" s="172" t="s">
        <v>810</v>
      </c>
      <c r="D3" s="213" t="s">
        <v>811</v>
      </c>
      <c r="E3" s="172" t="s">
        <v>444</v>
      </c>
      <c r="F3" s="286">
        <v>2</v>
      </c>
      <c r="G3" s="122" t="s">
        <v>69</v>
      </c>
      <c r="H3" s="275">
        <v>38623</v>
      </c>
      <c r="I3" s="206"/>
      <c r="J3" s="100"/>
      <c r="K3" s="279"/>
      <c r="L3" s="285"/>
    </row>
    <row r="4" ht="60" customHeight="1" spans="1:12">
      <c r="A4" s="172" t="s">
        <v>807</v>
      </c>
      <c r="B4" s="72" t="s">
        <v>37</v>
      </c>
      <c r="C4" s="172" t="s">
        <v>812</v>
      </c>
      <c r="D4" s="213" t="s">
        <v>813</v>
      </c>
      <c r="E4" s="172" t="s">
        <v>444</v>
      </c>
      <c r="F4" s="286">
        <v>2</v>
      </c>
      <c r="G4" s="122" t="s">
        <v>69</v>
      </c>
      <c r="H4" s="287">
        <v>82886</v>
      </c>
      <c r="I4" s="206"/>
      <c r="J4" s="100"/>
      <c r="K4" s="279"/>
      <c r="L4" s="285"/>
    </row>
    <row r="5" ht="75" customHeight="1" spans="1:12">
      <c r="A5" s="172" t="s">
        <v>807</v>
      </c>
      <c r="B5" s="72" t="s">
        <v>37</v>
      </c>
      <c r="C5" s="172" t="s">
        <v>814</v>
      </c>
      <c r="D5" s="213" t="s">
        <v>815</v>
      </c>
      <c r="E5" s="172" t="s">
        <v>444</v>
      </c>
      <c r="F5" s="286">
        <v>2</v>
      </c>
      <c r="G5" s="122" t="s">
        <v>69</v>
      </c>
      <c r="H5" s="275">
        <v>87596</v>
      </c>
      <c r="I5" s="206"/>
      <c r="J5" s="100"/>
      <c r="K5" s="279"/>
      <c r="L5" s="285"/>
    </row>
    <row r="6" ht="30" customHeight="1" spans="1:12">
      <c r="A6" s="72" t="s">
        <v>816</v>
      </c>
      <c r="B6" s="72" t="s">
        <v>435</v>
      </c>
      <c r="C6" s="172" t="s">
        <v>817</v>
      </c>
      <c r="D6" s="76" t="s">
        <v>818</v>
      </c>
      <c r="E6" s="172" t="s">
        <v>444</v>
      </c>
      <c r="F6" s="286">
        <v>0</v>
      </c>
      <c r="G6" s="122" t="s">
        <v>69</v>
      </c>
      <c r="H6" s="280">
        <v>604</v>
      </c>
      <c r="I6" s="206"/>
      <c r="J6" s="100"/>
      <c r="K6" s="288"/>
      <c r="L6" s="285"/>
    </row>
    <row r="7" ht="30" customHeight="1" spans="1:12">
      <c r="A7" s="72" t="s">
        <v>816</v>
      </c>
      <c r="B7" s="72" t="s">
        <v>435</v>
      </c>
      <c r="C7" s="172" t="s">
        <v>819</v>
      </c>
      <c r="D7" s="76" t="s">
        <v>820</v>
      </c>
      <c r="E7" s="122" t="s">
        <v>444</v>
      </c>
      <c r="F7" s="286">
        <v>0</v>
      </c>
      <c r="G7" s="122" t="s">
        <v>69</v>
      </c>
      <c r="H7" s="280">
        <v>397</v>
      </c>
      <c r="I7" s="206"/>
      <c r="J7" s="100"/>
      <c r="K7" s="288"/>
      <c r="L7" s="285"/>
    </row>
    <row r="8" ht="30" customHeight="1" spans="1:12">
      <c r="A8" s="172" t="s">
        <v>821</v>
      </c>
      <c r="B8" s="72" t="s">
        <v>44</v>
      </c>
      <c r="C8" s="172" t="s">
        <v>822</v>
      </c>
      <c r="D8" s="213" t="s">
        <v>823</v>
      </c>
      <c r="E8" s="172" t="s">
        <v>284</v>
      </c>
      <c r="F8" s="286">
        <v>6</v>
      </c>
      <c r="G8" s="122" t="s">
        <v>69</v>
      </c>
      <c r="H8" s="275">
        <v>37674</v>
      </c>
      <c r="I8" s="206"/>
      <c r="J8" s="100"/>
      <c r="K8" s="114"/>
      <c r="L8" s="285"/>
    </row>
    <row r="9" ht="30" customHeight="1" spans="1:12">
      <c r="A9" s="74" t="s">
        <v>824</v>
      </c>
      <c r="B9" s="72" t="s">
        <v>44</v>
      </c>
      <c r="C9" s="172" t="s">
        <v>825</v>
      </c>
      <c r="D9" s="213" t="s">
        <v>826</v>
      </c>
      <c r="E9" s="172" t="s">
        <v>284</v>
      </c>
      <c r="F9" s="286">
        <v>6</v>
      </c>
      <c r="G9" s="273" t="s">
        <v>69</v>
      </c>
      <c r="H9" s="280">
        <v>28256</v>
      </c>
      <c r="I9" s="206"/>
      <c r="J9" s="238"/>
      <c r="K9" s="100"/>
      <c r="L9" s="285"/>
    </row>
    <row r="10" s="285" customFormat="1" ht="44" customHeight="1" spans="1:12">
      <c r="A10" s="74" t="s">
        <v>824</v>
      </c>
      <c r="B10" s="72" t="s">
        <v>44</v>
      </c>
      <c r="C10" s="172" t="s">
        <v>827</v>
      </c>
      <c r="D10" s="213" t="s">
        <v>828</v>
      </c>
      <c r="E10" s="172" t="s">
        <v>284</v>
      </c>
      <c r="F10" s="286">
        <v>6</v>
      </c>
      <c r="G10" s="273" t="s">
        <v>65</v>
      </c>
      <c r="H10" s="280">
        <v>46196</v>
      </c>
      <c r="I10" s="95"/>
      <c r="J10" s="100"/>
      <c r="K10" s="289"/>
    </row>
    <row r="11" s="285" customFormat="1" ht="30" customHeight="1" spans="1:12">
      <c r="A11" s="74" t="s">
        <v>824</v>
      </c>
      <c r="B11" s="72" t="s">
        <v>44</v>
      </c>
      <c r="C11" s="172" t="s">
        <v>829</v>
      </c>
      <c r="D11" s="213" t="s">
        <v>830</v>
      </c>
      <c r="E11" s="172" t="s">
        <v>284</v>
      </c>
      <c r="F11" s="286">
        <v>6</v>
      </c>
      <c r="G11" s="273" t="s">
        <v>65</v>
      </c>
      <c r="H11" s="280">
        <v>31706</v>
      </c>
      <c r="I11" s="95"/>
      <c r="J11" s="100"/>
      <c r="K11" s="289"/>
    </row>
    <row r="12" ht="30" customHeight="1" spans="1:12">
      <c r="A12" s="172" t="s">
        <v>821</v>
      </c>
      <c r="B12" s="72" t="s">
        <v>25</v>
      </c>
      <c r="C12" s="172" t="s">
        <v>831</v>
      </c>
      <c r="D12" s="213" t="s">
        <v>832</v>
      </c>
      <c r="E12" s="172" t="s">
        <v>444</v>
      </c>
      <c r="F12" s="286">
        <v>2</v>
      </c>
      <c r="G12" s="122" t="s">
        <v>69</v>
      </c>
      <c r="H12" s="275">
        <v>6038</v>
      </c>
      <c r="I12" s="206"/>
      <c r="J12" s="100"/>
      <c r="K12" s="279"/>
      <c r="L12" s="285"/>
    </row>
    <row r="13" ht="30" customHeight="1" spans="1:12">
      <c r="A13" s="172" t="s">
        <v>821</v>
      </c>
      <c r="B13" s="72" t="s">
        <v>25</v>
      </c>
      <c r="C13" s="172" t="s">
        <v>833</v>
      </c>
      <c r="D13" s="213" t="s">
        <v>834</v>
      </c>
      <c r="E13" s="172" t="s">
        <v>444</v>
      </c>
      <c r="F13" s="286">
        <v>2</v>
      </c>
      <c r="G13" s="122" t="s">
        <v>69</v>
      </c>
      <c r="H13" s="275">
        <v>7918</v>
      </c>
      <c r="I13" s="206"/>
      <c r="J13" s="100"/>
      <c r="K13" s="279"/>
      <c r="L13" s="285"/>
    </row>
    <row r="14" ht="30" customHeight="1" spans="1:12">
      <c r="A14" s="172" t="s">
        <v>821</v>
      </c>
      <c r="B14" s="72" t="s">
        <v>25</v>
      </c>
      <c r="C14" s="172" t="s">
        <v>835</v>
      </c>
      <c r="D14" s="213" t="s">
        <v>836</v>
      </c>
      <c r="E14" s="172" t="s">
        <v>444</v>
      </c>
      <c r="F14" s="286">
        <v>2</v>
      </c>
      <c r="G14" s="122" t="s">
        <v>69</v>
      </c>
      <c r="H14" s="275">
        <v>15042</v>
      </c>
      <c r="I14" s="206"/>
      <c r="J14" s="100"/>
      <c r="K14" s="279"/>
      <c r="L14" s="285"/>
    </row>
    <row r="15" ht="30" customHeight="1" spans="1:12">
      <c r="A15" s="172" t="s">
        <v>821</v>
      </c>
      <c r="B15" s="72" t="s">
        <v>25</v>
      </c>
      <c r="C15" s="172" t="s">
        <v>837</v>
      </c>
      <c r="D15" s="213" t="s">
        <v>838</v>
      </c>
      <c r="E15" s="172" t="s">
        <v>444</v>
      </c>
      <c r="F15" s="286">
        <v>2</v>
      </c>
      <c r="G15" s="122" t="s">
        <v>69</v>
      </c>
      <c r="H15" s="275">
        <v>10695</v>
      </c>
      <c r="I15" s="206"/>
      <c r="J15" s="100"/>
      <c r="K15" s="279"/>
      <c r="L15" s="285"/>
    </row>
    <row r="16" ht="30" customHeight="1" spans="1:12">
      <c r="A16" s="172" t="s">
        <v>839</v>
      </c>
      <c r="B16" s="72" t="s">
        <v>49</v>
      </c>
      <c r="C16" s="72" t="s">
        <v>840</v>
      </c>
      <c r="D16" s="213" t="s">
        <v>841</v>
      </c>
      <c r="E16" s="172" t="s">
        <v>132</v>
      </c>
      <c r="F16" s="286">
        <v>1</v>
      </c>
      <c r="G16" s="122" t="s">
        <v>65</v>
      </c>
      <c r="H16" s="280">
        <v>80</v>
      </c>
      <c r="I16" s="206"/>
      <c r="J16" s="100"/>
      <c r="K16" s="110"/>
      <c r="L16" s="285"/>
    </row>
    <row r="17" ht="30" customHeight="1" spans="1:12">
      <c r="A17" s="172" t="s">
        <v>839</v>
      </c>
      <c r="B17" s="72" t="s">
        <v>49</v>
      </c>
      <c r="C17" s="172" t="s">
        <v>842</v>
      </c>
      <c r="D17" s="213" t="s">
        <v>843</v>
      </c>
      <c r="E17" s="172" t="s">
        <v>132</v>
      </c>
      <c r="F17" s="286">
        <v>0</v>
      </c>
      <c r="G17" s="122" t="s">
        <v>65</v>
      </c>
      <c r="H17" s="275">
        <v>966</v>
      </c>
      <c r="I17" s="206"/>
      <c r="J17" s="100"/>
      <c r="K17" s="238"/>
      <c r="L17" s="285"/>
    </row>
    <row r="18" ht="30" customHeight="1" spans="1:12">
      <c r="A18" s="172" t="s">
        <v>839</v>
      </c>
      <c r="B18" s="72" t="s">
        <v>49</v>
      </c>
      <c r="C18" s="74" t="s">
        <v>844</v>
      </c>
      <c r="D18" s="213" t="s">
        <v>845</v>
      </c>
      <c r="E18" s="172" t="s">
        <v>132</v>
      </c>
      <c r="F18" s="286">
        <v>0</v>
      </c>
      <c r="G18" s="273" t="s">
        <v>65</v>
      </c>
      <c r="H18" s="275">
        <v>1806</v>
      </c>
      <c r="I18" s="206"/>
      <c r="J18" s="238"/>
      <c r="K18" s="249"/>
      <c r="L18" s="285"/>
    </row>
    <row r="19" ht="30" customHeight="1" spans="1:12">
      <c r="A19" s="172" t="s">
        <v>839</v>
      </c>
      <c r="B19" s="72" t="s">
        <v>49</v>
      </c>
      <c r="C19" s="172" t="s">
        <v>846</v>
      </c>
      <c r="D19" s="213" t="s">
        <v>847</v>
      </c>
      <c r="E19" s="172" t="s">
        <v>132</v>
      </c>
      <c r="F19" s="286">
        <v>0</v>
      </c>
      <c r="G19" s="122" t="s">
        <v>65</v>
      </c>
      <c r="H19" s="275">
        <v>2632</v>
      </c>
      <c r="I19" s="206"/>
      <c r="J19" s="100"/>
      <c r="K19" s="238"/>
      <c r="L19" s="285"/>
    </row>
    <row r="20" ht="30" customHeight="1" spans="1:12">
      <c r="A20" s="172" t="s">
        <v>839</v>
      </c>
      <c r="B20" s="72" t="s">
        <v>49</v>
      </c>
      <c r="C20" s="172" t="s">
        <v>848</v>
      </c>
      <c r="D20" s="213" t="s">
        <v>849</v>
      </c>
      <c r="E20" s="172" t="s">
        <v>132</v>
      </c>
      <c r="F20" s="286">
        <v>0</v>
      </c>
      <c r="G20" s="122" t="s">
        <v>65</v>
      </c>
      <c r="H20" s="275">
        <v>4088</v>
      </c>
      <c r="I20" s="206"/>
      <c r="J20" s="100"/>
      <c r="K20" s="238"/>
      <c r="L20" s="285"/>
    </row>
    <row r="21" ht="30" customHeight="1" spans="1:12">
      <c r="A21" s="172" t="s">
        <v>839</v>
      </c>
      <c r="B21" s="72" t="s">
        <v>49</v>
      </c>
      <c r="C21" s="72" t="s">
        <v>850</v>
      </c>
      <c r="D21" s="213" t="s">
        <v>851</v>
      </c>
      <c r="E21" s="172" t="s">
        <v>132</v>
      </c>
      <c r="F21" s="286">
        <v>1</v>
      </c>
      <c r="G21" s="122" t="s">
        <v>65</v>
      </c>
      <c r="H21" s="280">
        <v>47</v>
      </c>
      <c r="I21" s="206"/>
      <c r="J21" s="100"/>
      <c r="K21" s="288"/>
    </row>
    <row r="22" ht="30" customHeight="1" spans="1:12">
      <c r="A22" s="172" t="s">
        <v>839</v>
      </c>
      <c r="B22" s="72" t="s">
        <v>49</v>
      </c>
      <c r="C22" s="74" t="s">
        <v>852</v>
      </c>
      <c r="D22" s="213" t="s">
        <v>853</v>
      </c>
      <c r="E22" s="172" t="s">
        <v>132</v>
      </c>
      <c r="F22" s="286">
        <v>0</v>
      </c>
      <c r="G22" s="273" t="s">
        <v>65</v>
      </c>
      <c r="H22" s="275">
        <v>560</v>
      </c>
      <c r="I22" s="206"/>
      <c r="J22" s="238"/>
      <c r="K22" s="249"/>
    </row>
    <row r="23" ht="30" customHeight="1" spans="1:12">
      <c r="A23" s="172" t="s">
        <v>839</v>
      </c>
      <c r="B23" s="72" t="s">
        <v>49</v>
      </c>
      <c r="C23" s="74" t="s">
        <v>854</v>
      </c>
      <c r="D23" s="213" t="s">
        <v>855</v>
      </c>
      <c r="E23" s="172" t="s">
        <v>132</v>
      </c>
      <c r="F23" s="286">
        <v>0</v>
      </c>
      <c r="G23" s="273" t="s">
        <v>65</v>
      </c>
      <c r="H23" s="275">
        <v>1050</v>
      </c>
      <c r="I23" s="206"/>
      <c r="J23" s="238"/>
      <c r="K23" s="249"/>
    </row>
    <row r="24" ht="30" customHeight="1" spans="1:12">
      <c r="A24" s="172" t="s">
        <v>839</v>
      </c>
      <c r="B24" s="72" t="s">
        <v>49</v>
      </c>
      <c r="C24" s="172" t="s">
        <v>856</v>
      </c>
      <c r="D24" s="213" t="s">
        <v>857</v>
      </c>
      <c r="E24" s="172" t="s">
        <v>132</v>
      </c>
      <c r="F24" s="286">
        <v>0</v>
      </c>
      <c r="G24" s="122" t="s">
        <v>65</v>
      </c>
      <c r="H24" s="275">
        <v>1526</v>
      </c>
      <c r="I24" s="206"/>
      <c r="J24" s="100"/>
      <c r="K24" s="238"/>
    </row>
    <row r="25" ht="30" customHeight="1" spans="1:12">
      <c r="A25" s="172" t="s">
        <v>839</v>
      </c>
      <c r="B25" s="72" t="s">
        <v>49</v>
      </c>
      <c r="C25" s="172" t="s">
        <v>858</v>
      </c>
      <c r="D25" s="213" t="s">
        <v>859</v>
      </c>
      <c r="E25" s="172" t="s">
        <v>132</v>
      </c>
      <c r="F25" s="286">
        <v>0</v>
      </c>
      <c r="G25" s="122" t="s">
        <v>65</v>
      </c>
      <c r="H25" s="275">
        <v>2380</v>
      </c>
      <c r="I25" s="206"/>
      <c r="J25" s="100"/>
      <c r="K25" s="238"/>
    </row>
  </sheetData>
  <autoFilter xmlns:etc="http://www.wps.cn/officeDocument/2017/etCustomData" ref="A1:J25" etc:filterBottomFollowUsedRange="0">
    <extLst/>
  </autoFilter>
  <conditionalFormatting sqref="C16">
    <cfRule type="duplicateValues" dxfId="0" priority="4"/>
  </conditionalFormatting>
  <conditionalFormatting sqref="C18">
    <cfRule type="duplicateValues" dxfId="0" priority="2"/>
  </conditionalFormatting>
  <conditionalFormatting sqref="C21">
    <cfRule type="duplicateValues" dxfId="0" priority="5"/>
  </conditionalFormatting>
  <conditionalFormatting sqref="C22">
    <cfRule type="duplicateValues" dxfId="0" priority="3"/>
  </conditionalFormatting>
  <conditionalFormatting sqref="C2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00B0F0"/>
  </sheetPr>
  <dimension ref="A1:K41"/>
  <sheetViews>
    <sheetView workbookViewId="0">
      <pane ySplit="1" topLeftCell="A2" activePane="bottomLeft" state="frozen"/>
      <selection/>
      <selection pane="bottomLeft" activeCell="Q10" sqref="Q10"/>
    </sheetView>
  </sheetViews>
  <sheetFormatPr defaultColWidth="9.16814159292035" defaultRowHeight="12.75"/>
  <cols>
    <col min="1" max="1" width="35.1681415929204" style="269" customWidth="1"/>
    <col min="2" max="2" width="16.1681415929204" style="269" customWidth="1"/>
    <col min="3" max="3" width="17.1681415929204" style="270" customWidth="1"/>
    <col min="4" max="4" width="64.1681415929203" style="271" customWidth="1"/>
    <col min="5" max="6" width="9.16814159292035" style="269" customWidth="1"/>
    <col min="7" max="7" width="15" style="269" customWidth="1"/>
    <col min="8" max="8" width="14.1681415929204" style="272" customWidth="1"/>
    <col min="9" max="9" width="15.1681415929204" style="269" customWidth="1"/>
    <col min="10" max="10" width="15.6637168141593" style="272" customWidth="1"/>
    <col min="11" max="11" width="16.1681415929204" style="269" customWidth="1"/>
    <col min="12" max="12" width="9.16814159292035" style="269" customWidth="1"/>
    <col min="13" max="16384" width="9.16814159292035" style="269"/>
  </cols>
  <sheetData>
    <row r="1" spans="1:11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45" customHeight="1" spans="1:11">
      <c r="A2" s="243" t="s">
        <v>860</v>
      </c>
      <c r="B2" s="72" t="s">
        <v>36</v>
      </c>
      <c r="C2" s="273" t="s">
        <v>861</v>
      </c>
      <c r="D2" s="274" t="s">
        <v>862</v>
      </c>
      <c r="E2" s="273" t="s">
        <v>444</v>
      </c>
      <c r="F2" s="273">
        <v>1</v>
      </c>
      <c r="G2" s="273" t="s">
        <v>69</v>
      </c>
      <c r="H2" s="275">
        <v>115299</v>
      </c>
      <c r="I2" s="100"/>
      <c r="J2" s="238"/>
      <c r="K2" s="276" t="s">
        <v>489</v>
      </c>
    </row>
    <row r="3" ht="45" customHeight="1" spans="1:11">
      <c r="A3" s="243" t="s">
        <v>860</v>
      </c>
      <c r="B3" s="72" t="s">
        <v>36</v>
      </c>
      <c r="C3" s="243" t="s">
        <v>863</v>
      </c>
      <c r="D3" s="274" t="s">
        <v>864</v>
      </c>
      <c r="E3" s="273" t="s">
        <v>444</v>
      </c>
      <c r="F3" s="243">
        <v>1</v>
      </c>
      <c r="G3" s="243" t="s">
        <v>65</v>
      </c>
      <c r="H3" s="275">
        <v>163789</v>
      </c>
      <c r="I3" s="100"/>
      <c r="J3" s="277"/>
      <c r="K3" s="278"/>
    </row>
    <row r="4" ht="60" customHeight="1" spans="1:11">
      <c r="A4" s="243" t="s">
        <v>860</v>
      </c>
      <c r="B4" s="72" t="s">
        <v>36</v>
      </c>
      <c r="C4" s="273" t="s">
        <v>865</v>
      </c>
      <c r="D4" s="274" t="s">
        <v>866</v>
      </c>
      <c r="E4" s="273" t="s">
        <v>444</v>
      </c>
      <c r="F4" s="273">
        <v>1</v>
      </c>
      <c r="G4" s="273" t="s">
        <v>69</v>
      </c>
      <c r="H4" s="275">
        <v>195184</v>
      </c>
      <c r="I4" s="100"/>
      <c r="J4" s="238"/>
      <c r="K4" s="276" t="s">
        <v>489</v>
      </c>
    </row>
    <row r="5" ht="60" customHeight="1" spans="1:11">
      <c r="A5" s="243" t="s">
        <v>860</v>
      </c>
      <c r="B5" s="72" t="s">
        <v>36</v>
      </c>
      <c r="C5" s="243" t="s">
        <v>867</v>
      </c>
      <c r="D5" s="274" t="s">
        <v>868</v>
      </c>
      <c r="E5" s="273" t="s">
        <v>444</v>
      </c>
      <c r="F5" s="243">
        <v>1</v>
      </c>
      <c r="G5" s="243" t="s">
        <v>65</v>
      </c>
      <c r="H5" s="275">
        <v>100102</v>
      </c>
      <c r="I5" s="100"/>
      <c r="J5" s="277"/>
      <c r="K5" s="279"/>
    </row>
    <row r="6" ht="60" customHeight="1" spans="1:11">
      <c r="A6" s="243" t="s">
        <v>869</v>
      </c>
      <c r="B6" s="72" t="s">
        <v>37</v>
      </c>
      <c r="C6" s="243" t="s">
        <v>870</v>
      </c>
      <c r="D6" s="274" t="s">
        <v>871</v>
      </c>
      <c r="E6" s="273" t="s">
        <v>444</v>
      </c>
      <c r="F6" s="243">
        <v>1</v>
      </c>
      <c r="G6" s="243" t="s">
        <v>65</v>
      </c>
      <c r="H6" s="275">
        <v>72795</v>
      </c>
      <c r="I6" s="100"/>
      <c r="J6" s="277"/>
      <c r="K6" s="279"/>
    </row>
    <row r="7" ht="60" customHeight="1" spans="1:11">
      <c r="A7" s="243" t="s">
        <v>860</v>
      </c>
      <c r="B7" s="72" t="s">
        <v>36</v>
      </c>
      <c r="C7" s="243" t="s">
        <v>872</v>
      </c>
      <c r="D7" s="274" t="s">
        <v>873</v>
      </c>
      <c r="E7" s="273" t="s">
        <v>444</v>
      </c>
      <c r="F7" s="243">
        <v>1</v>
      </c>
      <c r="G7" s="243" t="s">
        <v>69</v>
      </c>
      <c r="H7" s="275">
        <v>145590</v>
      </c>
      <c r="I7" s="100"/>
      <c r="J7" s="277"/>
      <c r="K7" s="279"/>
    </row>
    <row r="8" ht="45" customHeight="1" spans="1:11">
      <c r="A8" s="243" t="s">
        <v>860</v>
      </c>
      <c r="B8" s="72" t="s">
        <v>36</v>
      </c>
      <c r="C8" s="243" t="s">
        <v>874</v>
      </c>
      <c r="D8" s="274" t="s">
        <v>875</v>
      </c>
      <c r="E8" s="273" t="s">
        <v>444</v>
      </c>
      <c r="F8" s="243">
        <v>1</v>
      </c>
      <c r="G8" s="243" t="s">
        <v>69</v>
      </c>
      <c r="H8" s="275">
        <v>175157</v>
      </c>
      <c r="I8" s="100"/>
      <c r="J8" s="277"/>
      <c r="K8" s="279"/>
    </row>
    <row r="9" ht="60" customHeight="1" spans="1:11">
      <c r="A9" s="243" t="s">
        <v>869</v>
      </c>
      <c r="B9" s="72" t="s">
        <v>37</v>
      </c>
      <c r="C9" s="243" t="s">
        <v>876</v>
      </c>
      <c r="D9" s="274" t="s">
        <v>877</v>
      </c>
      <c r="E9" s="273" t="s">
        <v>444</v>
      </c>
      <c r="F9" s="243">
        <v>1</v>
      </c>
      <c r="G9" s="243" t="s">
        <v>65</v>
      </c>
      <c r="H9" s="275">
        <v>102379</v>
      </c>
      <c r="I9" s="100"/>
      <c r="J9" s="277"/>
      <c r="K9" s="279"/>
    </row>
    <row r="10" ht="45" customHeight="1" spans="1:11">
      <c r="A10" s="243" t="s">
        <v>869</v>
      </c>
      <c r="B10" s="72" t="s">
        <v>37</v>
      </c>
      <c r="C10" s="243" t="s">
        <v>878</v>
      </c>
      <c r="D10" s="274" t="s">
        <v>879</v>
      </c>
      <c r="E10" s="273" t="s">
        <v>444</v>
      </c>
      <c r="F10" s="243">
        <v>1</v>
      </c>
      <c r="G10" s="243" t="s">
        <v>65</v>
      </c>
      <c r="H10" s="275">
        <v>102379</v>
      </c>
      <c r="I10" s="100"/>
      <c r="J10" s="277"/>
      <c r="K10" s="279"/>
    </row>
    <row r="11" ht="29" customHeight="1" spans="1:11">
      <c r="A11" s="243" t="s">
        <v>880</v>
      </c>
      <c r="B11" s="72" t="s">
        <v>25</v>
      </c>
      <c r="C11" s="243" t="s">
        <v>881</v>
      </c>
      <c r="D11" s="274" t="s">
        <v>882</v>
      </c>
      <c r="E11" s="273" t="s">
        <v>444</v>
      </c>
      <c r="F11" s="243">
        <v>1</v>
      </c>
      <c r="G11" s="243" t="s">
        <v>65</v>
      </c>
      <c r="H11" s="275">
        <v>9815</v>
      </c>
      <c r="I11" s="100"/>
      <c r="J11" s="277"/>
      <c r="K11" s="279"/>
    </row>
    <row r="12" ht="29" customHeight="1" spans="1:11">
      <c r="A12" s="243" t="s">
        <v>880</v>
      </c>
      <c r="B12" s="72" t="s">
        <v>25</v>
      </c>
      <c r="C12" s="243" t="s">
        <v>883</v>
      </c>
      <c r="D12" s="274" t="s">
        <v>884</v>
      </c>
      <c r="E12" s="273" t="s">
        <v>444</v>
      </c>
      <c r="F12" s="243">
        <v>1</v>
      </c>
      <c r="G12" s="243" t="s">
        <v>65</v>
      </c>
      <c r="H12" s="275">
        <v>21373</v>
      </c>
      <c r="I12" s="100"/>
      <c r="J12" s="277"/>
      <c r="K12" s="279"/>
    </row>
    <row r="13" ht="29" customHeight="1" spans="1:11">
      <c r="A13" s="243" t="s">
        <v>880</v>
      </c>
      <c r="B13" s="72" t="s">
        <v>25</v>
      </c>
      <c r="C13" s="243" t="s">
        <v>885</v>
      </c>
      <c r="D13" s="274" t="s">
        <v>886</v>
      </c>
      <c r="E13" s="273" t="s">
        <v>444</v>
      </c>
      <c r="F13" s="243">
        <v>1</v>
      </c>
      <c r="G13" s="243" t="s">
        <v>65</v>
      </c>
      <c r="H13" s="275">
        <v>32068</v>
      </c>
      <c r="I13" s="100"/>
      <c r="J13" s="277"/>
      <c r="K13" s="279"/>
    </row>
    <row r="14" ht="15" customHeight="1" spans="1:11">
      <c r="A14" s="243" t="s">
        <v>887</v>
      </c>
      <c r="B14" s="72" t="s">
        <v>25</v>
      </c>
      <c r="C14" s="243" t="s">
        <v>888</v>
      </c>
      <c r="D14" s="274" t="s">
        <v>889</v>
      </c>
      <c r="E14" s="273" t="s">
        <v>444</v>
      </c>
      <c r="F14" s="243">
        <v>1</v>
      </c>
      <c r="G14" s="243" t="s">
        <v>65</v>
      </c>
      <c r="H14" s="275">
        <v>10695</v>
      </c>
      <c r="I14" s="100"/>
      <c r="J14" s="277"/>
      <c r="K14" s="279"/>
    </row>
    <row r="15" ht="15" customHeight="1" spans="1:11">
      <c r="A15" s="243" t="s">
        <v>887</v>
      </c>
      <c r="B15" s="72" t="s">
        <v>25</v>
      </c>
      <c r="C15" s="243" t="s">
        <v>890</v>
      </c>
      <c r="D15" s="274" t="s">
        <v>891</v>
      </c>
      <c r="E15" s="273" t="s">
        <v>444</v>
      </c>
      <c r="F15" s="243">
        <v>1</v>
      </c>
      <c r="G15" s="243" t="s">
        <v>65</v>
      </c>
      <c r="H15" s="275">
        <v>15042</v>
      </c>
      <c r="I15" s="100"/>
      <c r="J15" s="277"/>
      <c r="K15" s="279"/>
    </row>
    <row r="16" ht="30" customHeight="1" spans="1:11">
      <c r="A16" s="243" t="s">
        <v>892</v>
      </c>
      <c r="B16" s="72" t="s">
        <v>44</v>
      </c>
      <c r="C16" s="243" t="s">
        <v>126</v>
      </c>
      <c r="D16" s="274" t="s">
        <v>127</v>
      </c>
      <c r="E16" s="273" t="s">
        <v>284</v>
      </c>
      <c r="F16" s="243">
        <v>6</v>
      </c>
      <c r="G16" s="243" t="s">
        <v>69</v>
      </c>
      <c r="H16" s="275">
        <v>0</v>
      </c>
      <c r="I16" s="100"/>
      <c r="J16" s="277"/>
      <c r="K16" s="100"/>
    </row>
    <row r="17" ht="15" customHeight="1" spans="1:11">
      <c r="A17" s="243" t="s">
        <v>892</v>
      </c>
      <c r="B17" s="72" t="s">
        <v>44</v>
      </c>
      <c r="C17" s="243" t="s">
        <v>893</v>
      </c>
      <c r="D17" s="274" t="s">
        <v>894</v>
      </c>
      <c r="E17" s="273" t="s">
        <v>284</v>
      </c>
      <c r="F17" s="243">
        <v>6</v>
      </c>
      <c r="G17" s="243" t="s">
        <v>65</v>
      </c>
      <c r="H17" s="275">
        <v>9419</v>
      </c>
      <c r="I17" s="100"/>
      <c r="J17" s="277"/>
      <c r="K17" s="100"/>
    </row>
    <row r="18" ht="15" customHeight="1" spans="1:11">
      <c r="A18" s="243" t="s">
        <v>895</v>
      </c>
      <c r="B18" s="72" t="s">
        <v>44</v>
      </c>
      <c r="C18" s="243" t="s">
        <v>896</v>
      </c>
      <c r="D18" s="274" t="s">
        <v>897</v>
      </c>
      <c r="E18" s="273" t="s">
        <v>284</v>
      </c>
      <c r="F18" s="243">
        <v>6</v>
      </c>
      <c r="G18" s="243" t="s">
        <v>69</v>
      </c>
      <c r="H18" s="275">
        <v>22615</v>
      </c>
      <c r="I18" s="100"/>
      <c r="J18" s="277"/>
      <c r="K18" s="100"/>
    </row>
    <row r="19" ht="45" customHeight="1" spans="1:11">
      <c r="A19" s="273" t="s">
        <v>892</v>
      </c>
      <c r="B19" s="72" t="s">
        <v>44</v>
      </c>
      <c r="C19" s="273" t="s">
        <v>898</v>
      </c>
      <c r="D19" s="83" t="s">
        <v>899</v>
      </c>
      <c r="E19" s="273" t="s">
        <v>284</v>
      </c>
      <c r="F19" s="243">
        <v>6</v>
      </c>
      <c r="G19" s="273" t="s">
        <v>69</v>
      </c>
      <c r="H19" s="280">
        <v>22649</v>
      </c>
      <c r="I19" s="100"/>
      <c r="J19" s="238"/>
      <c r="K19" s="238"/>
    </row>
    <row r="20" ht="15" customHeight="1" spans="1:11">
      <c r="A20" s="243" t="s">
        <v>895</v>
      </c>
      <c r="B20" s="72" t="s">
        <v>48</v>
      </c>
      <c r="C20" s="273" t="s">
        <v>900</v>
      </c>
      <c r="D20" s="83" t="s">
        <v>901</v>
      </c>
      <c r="E20" s="273" t="s">
        <v>444</v>
      </c>
      <c r="F20" s="243">
        <v>0</v>
      </c>
      <c r="G20" s="273" t="s">
        <v>65</v>
      </c>
      <c r="H20" s="275">
        <v>8159</v>
      </c>
      <c r="I20" s="100"/>
      <c r="J20" s="238"/>
      <c r="K20" s="281"/>
    </row>
    <row r="21" ht="15" customHeight="1" spans="1:11">
      <c r="A21" s="243" t="s">
        <v>895</v>
      </c>
      <c r="B21" s="72" t="s">
        <v>48</v>
      </c>
      <c r="C21" s="273" t="s">
        <v>902</v>
      </c>
      <c r="D21" s="83" t="s">
        <v>903</v>
      </c>
      <c r="E21" s="273" t="s">
        <v>444</v>
      </c>
      <c r="F21" s="273">
        <v>0</v>
      </c>
      <c r="G21" s="273" t="s">
        <v>65</v>
      </c>
      <c r="H21" s="275">
        <v>9971</v>
      </c>
      <c r="I21" s="100"/>
      <c r="J21" s="238"/>
      <c r="K21" s="281"/>
    </row>
    <row r="22" ht="15" customHeight="1" spans="1:11">
      <c r="A22" s="243" t="s">
        <v>895</v>
      </c>
      <c r="B22" s="72" t="s">
        <v>48</v>
      </c>
      <c r="C22" s="273" t="s">
        <v>904</v>
      </c>
      <c r="D22" s="83" t="s">
        <v>905</v>
      </c>
      <c r="E22" s="273" t="s">
        <v>444</v>
      </c>
      <c r="F22" s="273">
        <v>0</v>
      </c>
      <c r="G22" s="273" t="s">
        <v>65</v>
      </c>
      <c r="H22" s="275">
        <v>6348</v>
      </c>
      <c r="I22" s="100"/>
      <c r="J22" s="238"/>
      <c r="K22" s="281"/>
    </row>
    <row r="23" ht="15" customHeight="1" spans="1:11">
      <c r="A23" s="243" t="s">
        <v>895</v>
      </c>
      <c r="B23" s="72" t="s">
        <v>48</v>
      </c>
      <c r="C23" s="243" t="s">
        <v>906</v>
      </c>
      <c r="D23" s="274" t="s">
        <v>907</v>
      </c>
      <c r="E23" s="273" t="s">
        <v>690</v>
      </c>
      <c r="F23" s="243">
        <v>0</v>
      </c>
      <c r="G23" s="243" t="s">
        <v>65</v>
      </c>
      <c r="H23" s="275">
        <v>2588</v>
      </c>
      <c r="I23" s="100"/>
      <c r="J23" s="277"/>
      <c r="K23" s="279"/>
    </row>
    <row r="24" ht="15" customHeight="1" spans="1:11">
      <c r="A24" s="243" t="s">
        <v>895</v>
      </c>
      <c r="B24" s="72" t="s">
        <v>48</v>
      </c>
      <c r="C24" s="243" t="s">
        <v>908</v>
      </c>
      <c r="D24" s="274" t="s">
        <v>909</v>
      </c>
      <c r="E24" s="273" t="s">
        <v>690</v>
      </c>
      <c r="F24" s="243">
        <v>0</v>
      </c>
      <c r="G24" s="243" t="s">
        <v>65</v>
      </c>
      <c r="H24" s="275">
        <v>3450</v>
      </c>
      <c r="I24" s="100"/>
      <c r="J24" s="277"/>
      <c r="K24" s="279"/>
    </row>
    <row r="25" ht="12" customHeight="1" spans="1:11">
      <c r="A25" s="243" t="s">
        <v>895</v>
      </c>
      <c r="B25" s="120" t="s">
        <v>48</v>
      </c>
      <c r="C25" s="243" t="s">
        <v>910</v>
      </c>
      <c r="D25" s="274" t="s">
        <v>911</v>
      </c>
      <c r="E25" s="273" t="s">
        <v>690</v>
      </c>
      <c r="F25" s="243">
        <v>0</v>
      </c>
      <c r="G25" s="243" t="s">
        <v>65</v>
      </c>
      <c r="H25" s="275">
        <v>5175</v>
      </c>
      <c r="I25" s="100"/>
      <c r="J25" s="277"/>
      <c r="K25" s="279"/>
    </row>
    <row r="26" ht="25.25" customHeight="1" spans="1:11">
      <c r="A26" s="122" t="s">
        <v>912</v>
      </c>
      <c r="B26" s="72" t="s">
        <v>22</v>
      </c>
      <c r="C26" s="243" t="s">
        <v>913</v>
      </c>
      <c r="D26" s="274" t="s">
        <v>914</v>
      </c>
      <c r="E26" s="273" t="s">
        <v>444</v>
      </c>
      <c r="F26" s="243">
        <v>1</v>
      </c>
      <c r="G26" s="243" t="s">
        <v>65</v>
      </c>
      <c r="H26" s="275">
        <v>8677</v>
      </c>
      <c r="I26" s="100"/>
      <c r="J26" s="238"/>
      <c r="K26" s="100"/>
    </row>
    <row r="27" ht="28.25" customHeight="1" spans="1:11">
      <c r="A27" s="122" t="s">
        <v>912</v>
      </c>
      <c r="B27" s="72" t="s">
        <v>22</v>
      </c>
      <c r="C27" s="243" t="s">
        <v>915</v>
      </c>
      <c r="D27" s="282" t="s">
        <v>916</v>
      </c>
      <c r="E27" s="273" t="s">
        <v>444</v>
      </c>
      <c r="F27" s="243">
        <v>0</v>
      </c>
      <c r="G27" s="243" t="s">
        <v>65</v>
      </c>
      <c r="H27" s="275">
        <v>5434</v>
      </c>
      <c r="I27" s="100"/>
      <c r="J27" s="238"/>
      <c r="K27" s="100"/>
    </row>
    <row r="28" ht="33" customHeight="1" spans="1:11">
      <c r="A28" s="243" t="s">
        <v>917</v>
      </c>
      <c r="B28" s="72" t="s">
        <v>49</v>
      </c>
      <c r="C28" s="273" t="s">
        <v>918</v>
      </c>
      <c r="D28" s="282" t="s">
        <v>919</v>
      </c>
      <c r="E28" s="273" t="s">
        <v>132</v>
      </c>
      <c r="F28" s="273">
        <v>1</v>
      </c>
      <c r="G28" s="273" t="s">
        <v>65</v>
      </c>
      <c r="H28" s="275">
        <v>47</v>
      </c>
      <c r="I28" s="100"/>
      <c r="J28" s="277"/>
      <c r="K28" s="238"/>
    </row>
    <row r="29" ht="28.25" customHeight="1" spans="1:11">
      <c r="A29" s="243" t="s">
        <v>917</v>
      </c>
      <c r="B29" s="72" t="s">
        <v>49</v>
      </c>
      <c r="C29" s="273" t="s">
        <v>920</v>
      </c>
      <c r="D29" s="282" t="s">
        <v>921</v>
      </c>
      <c r="E29" s="273" t="s">
        <v>132</v>
      </c>
      <c r="F29" s="273">
        <v>0</v>
      </c>
      <c r="G29" s="273" t="s">
        <v>65</v>
      </c>
      <c r="H29" s="275">
        <v>560</v>
      </c>
      <c r="I29" s="100"/>
      <c r="J29" s="277"/>
      <c r="K29" s="238"/>
    </row>
    <row r="30" ht="33" customHeight="1" spans="1:11">
      <c r="A30" s="243" t="s">
        <v>917</v>
      </c>
      <c r="B30" s="72" t="s">
        <v>49</v>
      </c>
      <c r="C30" s="273" t="s">
        <v>922</v>
      </c>
      <c r="D30" s="282" t="s">
        <v>923</v>
      </c>
      <c r="E30" s="273" t="s">
        <v>132</v>
      </c>
      <c r="F30" s="273">
        <v>0</v>
      </c>
      <c r="G30" s="273" t="s">
        <v>65</v>
      </c>
      <c r="H30" s="275">
        <v>1064</v>
      </c>
      <c r="I30" s="100"/>
      <c r="J30" s="100"/>
      <c r="K30" s="277"/>
    </row>
    <row r="31" ht="39" customHeight="1" spans="1:11">
      <c r="A31" s="243" t="s">
        <v>917</v>
      </c>
      <c r="B31" s="72" t="s">
        <v>49</v>
      </c>
      <c r="C31" s="273" t="s">
        <v>924</v>
      </c>
      <c r="D31" s="282" t="s">
        <v>925</v>
      </c>
      <c r="E31" s="273" t="s">
        <v>132</v>
      </c>
      <c r="F31" s="243">
        <v>0</v>
      </c>
      <c r="G31" s="273" t="s">
        <v>65</v>
      </c>
      <c r="H31" s="275">
        <v>1554</v>
      </c>
      <c r="I31" s="100"/>
      <c r="J31" s="100"/>
      <c r="K31" s="277"/>
    </row>
    <row r="32" ht="39" customHeight="1" spans="1:11">
      <c r="A32" s="243" t="s">
        <v>917</v>
      </c>
      <c r="B32" s="72" t="s">
        <v>49</v>
      </c>
      <c r="C32" s="273" t="s">
        <v>926</v>
      </c>
      <c r="D32" s="282" t="s">
        <v>927</v>
      </c>
      <c r="E32" s="273" t="s">
        <v>132</v>
      </c>
      <c r="F32" s="273">
        <v>0</v>
      </c>
      <c r="G32" s="273" t="s">
        <v>65</v>
      </c>
      <c r="H32" s="275">
        <v>2408</v>
      </c>
      <c r="I32" s="100"/>
      <c r="J32" s="238"/>
      <c r="K32" s="283"/>
    </row>
    <row r="33" ht="30" customHeight="1" spans="1:11">
      <c r="A33" s="243" t="s">
        <v>917</v>
      </c>
      <c r="B33" s="72" t="s">
        <v>49</v>
      </c>
      <c r="C33" s="273" t="s">
        <v>928</v>
      </c>
      <c r="D33" s="284" t="s">
        <v>929</v>
      </c>
      <c r="E33" s="273" t="s">
        <v>132</v>
      </c>
      <c r="F33" s="273">
        <v>0</v>
      </c>
      <c r="G33" s="273" t="s">
        <v>69</v>
      </c>
      <c r="H33" s="275" t="s">
        <v>143</v>
      </c>
      <c r="I33" s="238"/>
      <c r="J33" s="283"/>
      <c r="K33" s="238"/>
    </row>
    <row r="34" ht="30" customHeight="1" spans="1:11">
      <c r="A34" s="243" t="s">
        <v>917</v>
      </c>
      <c r="B34" s="72" t="s">
        <v>49</v>
      </c>
      <c r="C34" s="273" t="s">
        <v>930</v>
      </c>
      <c r="D34" s="284" t="s">
        <v>931</v>
      </c>
      <c r="E34" s="273" t="s">
        <v>132</v>
      </c>
      <c r="F34" s="273">
        <v>0</v>
      </c>
      <c r="G34" s="273" t="s">
        <v>69</v>
      </c>
      <c r="H34" s="275" t="s">
        <v>143</v>
      </c>
      <c r="I34" s="238"/>
      <c r="J34" s="283"/>
      <c r="K34" s="238"/>
    </row>
    <row r="35" ht="39" customHeight="1" spans="1:11">
      <c r="A35" s="243" t="s">
        <v>917</v>
      </c>
      <c r="B35" s="72" t="s">
        <v>49</v>
      </c>
      <c r="C35" s="273" t="s">
        <v>932</v>
      </c>
      <c r="D35" s="282" t="s">
        <v>933</v>
      </c>
      <c r="E35" s="273" t="s">
        <v>132</v>
      </c>
      <c r="F35" s="273">
        <v>1</v>
      </c>
      <c r="G35" s="273" t="s">
        <v>65</v>
      </c>
      <c r="H35" s="275">
        <v>91</v>
      </c>
      <c r="I35" s="100"/>
      <c r="J35" s="277"/>
      <c r="K35" s="238"/>
    </row>
    <row r="36" ht="30" customHeight="1" spans="1:11">
      <c r="A36" s="243" t="s">
        <v>917</v>
      </c>
      <c r="B36" s="72" t="s">
        <v>49</v>
      </c>
      <c r="C36" s="273" t="s">
        <v>934</v>
      </c>
      <c r="D36" s="282" t="s">
        <v>935</v>
      </c>
      <c r="E36" s="273" t="s">
        <v>132</v>
      </c>
      <c r="F36" s="273">
        <v>0</v>
      </c>
      <c r="G36" s="273" t="s">
        <v>65</v>
      </c>
      <c r="H36" s="275">
        <v>1092</v>
      </c>
      <c r="I36" s="100"/>
      <c r="J36" s="277"/>
      <c r="K36" s="238"/>
    </row>
    <row r="37" ht="30" customHeight="1" spans="1:11">
      <c r="A37" s="243" t="s">
        <v>917</v>
      </c>
      <c r="B37" s="72" t="s">
        <v>49</v>
      </c>
      <c r="C37" s="273" t="s">
        <v>936</v>
      </c>
      <c r="D37" s="282" t="s">
        <v>937</v>
      </c>
      <c r="E37" s="273" t="s">
        <v>132</v>
      </c>
      <c r="F37" s="273">
        <v>0</v>
      </c>
      <c r="G37" s="273" t="s">
        <v>65</v>
      </c>
      <c r="H37" s="275">
        <v>2044</v>
      </c>
      <c r="I37" s="100"/>
      <c r="J37" s="277"/>
      <c r="K37" s="238"/>
    </row>
    <row r="38" ht="30" customHeight="1" spans="1:11">
      <c r="A38" s="243" t="s">
        <v>917</v>
      </c>
      <c r="B38" s="72" t="s">
        <v>49</v>
      </c>
      <c r="C38" s="273" t="s">
        <v>938</v>
      </c>
      <c r="D38" s="282" t="s">
        <v>939</v>
      </c>
      <c r="E38" s="273" t="s">
        <v>132</v>
      </c>
      <c r="F38" s="273">
        <v>0</v>
      </c>
      <c r="G38" s="273" t="s">
        <v>65</v>
      </c>
      <c r="H38" s="275">
        <v>2968</v>
      </c>
      <c r="I38" s="100"/>
      <c r="J38" s="277"/>
      <c r="K38" s="238"/>
    </row>
    <row r="39" ht="30" customHeight="1" spans="1:11">
      <c r="A39" s="243" t="s">
        <v>917</v>
      </c>
      <c r="B39" s="72" t="s">
        <v>49</v>
      </c>
      <c r="C39" s="273" t="s">
        <v>940</v>
      </c>
      <c r="D39" s="282" t="s">
        <v>941</v>
      </c>
      <c r="E39" s="273" t="s">
        <v>132</v>
      </c>
      <c r="F39" s="273">
        <v>0</v>
      </c>
      <c r="G39" s="273" t="s">
        <v>65</v>
      </c>
      <c r="H39" s="275">
        <v>4620</v>
      </c>
      <c r="I39" s="100"/>
      <c r="J39" s="277"/>
      <c r="K39" s="238"/>
    </row>
    <row r="40" ht="45" customHeight="1" spans="1:11">
      <c r="A40" s="243" t="s">
        <v>917</v>
      </c>
      <c r="B40" s="72" t="s">
        <v>49</v>
      </c>
      <c r="C40" s="273" t="s">
        <v>942</v>
      </c>
      <c r="D40" s="284" t="s">
        <v>943</v>
      </c>
      <c r="E40" s="273" t="s">
        <v>132</v>
      </c>
      <c r="F40" s="273">
        <v>0</v>
      </c>
      <c r="G40" s="273" t="s">
        <v>69</v>
      </c>
      <c r="H40" s="275" t="s">
        <v>143</v>
      </c>
      <c r="I40" s="238"/>
      <c r="J40" s="283"/>
      <c r="K40" s="238"/>
    </row>
    <row r="41" ht="45" customHeight="1" spans="1:11">
      <c r="A41" s="243" t="s">
        <v>917</v>
      </c>
      <c r="B41" s="72" t="s">
        <v>49</v>
      </c>
      <c r="C41" s="273" t="s">
        <v>944</v>
      </c>
      <c r="D41" s="284" t="s">
        <v>943</v>
      </c>
      <c r="E41" s="273" t="s">
        <v>132</v>
      </c>
      <c r="F41" s="273">
        <v>0</v>
      </c>
      <c r="G41" s="273" t="s">
        <v>69</v>
      </c>
      <c r="H41" s="275" t="s">
        <v>143</v>
      </c>
      <c r="I41" s="238"/>
      <c r="J41" s="283"/>
      <c r="K41" s="238"/>
    </row>
  </sheetData>
  <autoFilter xmlns:etc="http://www.wps.cn/officeDocument/2017/etCustomData" ref="A1:J4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47"/>
  <sheetViews>
    <sheetView zoomScale="115" zoomScaleNormal="115" topLeftCell="B1" workbookViewId="0">
      <pane ySplit="1" topLeftCell="A8" activePane="bottomLeft" state="frozen"/>
      <selection/>
      <selection pane="bottomLeft" activeCell="L14" sqref="L14"/>
    </sheetView>
  </sheetViews>
  <sheetFormatPr defaultColWidth="9.16814159292035" defaultRowHeight="12.75"/>
  <cols>
    <col min="1" max="1" width="20.1681415929204" style="227" customWidth="1"/>
    <col min="2" max="2" width="20" style="227" customWidth="1"/>
    <col min="3" max="3" width="18.6637168141593" style="227" customWidth="1"/>
    <col min="4" max="4" width="80.1681415929203" style="263" customWidth="1"/>
    <col min="5" max="6" width="9.16814159292035" style="227" customWidth="1"/>
    <col min="7" max="7" width="13.1681415929204" style="227" customWidth="1"/>
    <col min="8" max="8" width="16.6637168141593" style="227" customWidth="1"/>
    <col min="9" max="9" width="11.1681415929204" style="227" customWidth="1"/>
    <col min="10" max="10" width="10" style="227" customWidth="1"/>
    <col min="11" max="11" width="14.1681415929204" style="227" customWidth="1"/>
    <col min="12" max="12" width="18.6637168141593" style="227" customWidth="1"/>
    <col min="13" max="16384" width="9.16814159292035" style="227"/>
  </cols>
  <sheetData>
    <row r="1" spans="1:12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45" customHeight="1" spans="1:12">
      <c r="A2" s="230" t="s">
        <v>945</v>
      </c>
      <c r="B2" s="72" t="s">
        <v>30</v>
      </c>
      <c r="C2" s="230" t="s">
        <v>946</v>
      </c>
      <c r="D2" s="231" t="s">
        <v>947</v>
      </c>
      <c r="E2" s="230" t="s">
        <v>444</v>
      </c>
      <c r="F2" s="230">
        <v>1</v>
      </c>
      <c r="G2" s="230" t="s">
        <v>65</v>
      </c>
      <c r="H2" s="232">
        <v>159131</v>
      </c>
      <c r="I2" s="206"/>
      <c r="J2" s="264"/>
      <c r="K2" s="264"/>
      <c r="L2" s="265"/>
    </row>
    <row r="3" ht="45" customHeight="1" spans="1:12">
      <c r="A3" s="230" t="s">
        <v>945</v>
      </c>
      <c r="B3" s="72" t="s">
        <v>30</v>
      </c>
      <c r="C3" s="230" t="s">
        <v>948</v>
      </c>
      <c r="D3" s="231" t="s">
        <v>949</v>
      </c>
      <c r="E3" s="230" t="s">
        <v>444</v>
      </c>
      <c r="F3" s="230">
        <v>1</v>
      </c>
      <c r="G3" s="230" t="s">
        <v>69</v>
      </c>
      <c r="H3" s="232">
        <v>50767</v>
      </c>
      <c r="I3" s="206"/>
      <c r="J3" s="264"/>
      <c r="K3" s="264"/>
      <c r="L3" s="265"/>
    </row>
    <row r="4" ht="45" customHeight="1" spans="1:12">
      <c r="A4" s="230" t="s">
        <v>945</v>
      </c>
      <c r="B4" s="99" t="s">
        <v>30</v>
      </c>
      <c r="C4" s="230" t="s">
        <v>950</v>
      </c>
      <c r="D4" s="231" t="s">
        <v>951</v>
      </c>
      <c r="E4" s="230" t="s">
        <v>444</v>
      </c>
      <c r="F4" s="230">
        <v>1</v>
      </c>
      <c r="G4" s="230" t="s">
        <v>65</v>
      </c>
      <c r="H4" s="232">
        <v>150041</v>
      </c>
      <c r="I4" s="206"/>
      <c r="J4" s="264"/>
      <c r="K4" s="264"/>
      <c r="L4" s="265"/>
    </row>
    <row r="5" ht="45" customHeight="1" spans="1:12">
      <c r="A5" s="230" t="s">
        <v>945</v>
      </c>
      <c r="B5" s="99" t="s">
        <v>30</v>
      </c>
      <c r="C5" s="230" t="s">
        <v>952</v>
      </c>
      <c r="D5" s="231" t="s">
        <v>953</v>
      </c>
      <c r="E5" s="230" t="s">
        <v>444</v>
      </c>
      <c r="F5" s="230">
        <v>1</v>
      </c>
      <c r="G5" s="230" t="s">
        <v>69</v>
      </c>
      <c r="H5" s="232">
        <v>65516</v>
      </c>
      <c r="I5" s="206"/>
      <c r="J5" s="264"/>
      <c r="K5" s="264"/>
      <c r="L5" s="265"/>
    </row>
    <row r="6" ht="45" customHeight="1" spans="1:12">
      <c r="A6" s="230" t="s">
        <v>954</v>
      </c>
      <c r="B6" s="72" t="s">
        <v>30</v>
      </c>
      <c r="C6" s="230" t="s">
        <v>955</v>
      </c>
      <c r="D6" s="266" t="s">
        <v>956</v>
      </c>
      <c r="E6" s="230" t="s">
        <v>444</v>
      </c>
      <c r="F6" s="230">
        <v>1</v>
      </c>
      <c r="G6" s="230" t="s">
        <v>65</v>
      </c>
      <c r="H6" s="232">
        <v>63204</v>
      </c>
      <c r="I6" s="206"/>
      <c r="J6" s="264"/>
      <c r="K6" s="264"/>
      <c r="L6" s="265"/>
    </row>
    <row r="7" ht="45" customHeight="1" spans="1:12">
      <c r="A7" s="230" t="s">
        <v>954</v>
      </c>
      <c r="B7" s="72" t="s">
        <v>30</v>
      </c>
      <c r="C7" s="230" t="s">
        <v>957</v>
      </c>
      <c r="D7" s="231" t="s">
        <v>958</v>
      </c>
      <c r="E7" s="230" t="s">
        <v>444</v>
      </c>
      <c r="F7" s="230">
        <v>1</v>
      </c>
      <c r="G7" s="230" t="s">
        <v>65</v>
      </c>
      <c r="H7" s="232">
        <v>131825</v>
      </c>
      <c r="I7" s="206"/>
      <c r="J7" s="264"/>
      <c r="K7" s="264"/>
      <c r="L7" s="265"/>
    </row>
    <row r="8" ht="45" customHeight="1" spans="1:12">
      <c r="A8" s="230" t="s">
        <v>954</v>
      </c>
      <c r="B8" s="72" t="s">
        <v>30</v>
      </c>
      <c r="C8" s="230" t="s">
        <v>959</v>
      </c>
      <c r="D8" s="231" t="s">
        <v>960</v>
      </c>
      <c r="E8" s="230" t="s">
        <v>444</v>
      </c>
      <c r="F8" s="230">
        <v>1</v>
      </c>
      <c r="G8" s="230" t="s">
        <v>69</v>
      </c>
      <c r="H8" s="232">
        <v>47679</v>
      </c>
      <c r="I8" s="206"/>
      <c r="J8" s="264"/>
      <c r="K8" s="264"/>
      <c r="L8" s="265"/>
    </row>
    <row r="9" ht="45" customHeight="1" spans="1:12">
      <c r="A9" s="230" t="s">
        <v>961</v>
      </c>
      <c r="B9" s="72" t="s">
        <v>32</v>
      </c>
      <c r="C9" s="230" t="s">
        <v>962</v>
      </c>
      <c r="D9" s="231" t="s">
        <v>963</v>
      </c>
      <c r="E9" s="230" t="s">
        <v>444</v>
      </c>
      <c r="F9" s="230">
        <v>1</v>
      </c>
      <c r="G9" s="230" t="s">
        <v>69</v>
      </c>
      <c r="H9" s="232">
        <v>24926</v>
      </c>
      <c r="I9" s="206"/>
      <c r="J9" s="264"/>
      <c r="K9" s="264"/>
      <c r="L9" s="265"/>
    </row>
    <row r="10" ht="45" customHeight="1" spans="1:12">
      <c r="A10" s="230" t="s">
        <v>961</v>
      </c>
      <c r="B10" s="72" t="s">
        <v>30</v>
      </c>
      <c r="C10" s="230" t="s">
        <v>964</v>
      </c>
      <c r="D10" s="231" t="s">
        <v>965</v>
      </c>
      <c r="E10" s="230" t="s">
        <v>444</v>
      </c>
      <c r="F10" s="230">
        <v>1</v>
      </c>
      <c r="G10" s="230" t="s">
        <v>69</v>
      </c>
      <c r="H10" s="232">
        <v>31757</v>
      </c>
      <c r="I10" s="206"/>
      <c r="J10" s="264"/>
      <c r="K10" s="264"/>
      <c r="L10" s="265"/>
    </row>
    <row r="11" ht="30" customHeight="1" spans="1:12">
      <c r="A11" s="230" t="s">
        <v>966</v>
      </c>
      <c r="B11" s="72" t="s">
        <v>25</v>
      </c>
      <c r="C11" s="230" t="s">
        <v>967</v>
      </c>
      <c r="D11" s="231" t="s">
        <v>968</v>
      </c>
      <c r="E11" s="230" t="s">
        <v>444</v>
      </c>
      <c r="F11" s="230">
        <v>1</v>
      </c>
      <c r="G11" s="230" t="s">
        <v>69</v>
      </c>
      <c r="H11" s="232">
        <v>9815</v>
      </c>
      <c r="I11" s="206"/>
      <c r="J11" s="264"/>
      <c r="K11" s="264"/>
      <c r="L11" s="265"/>
    </row>
    <row r="12" ht="30" customHeight="1" spans="1:12">
      <c r="A12" s="230" t="s">
        <v>966</v>
      </c>
      <c r="B12" s="72" t="s">
        <v>25</v>
      </c>
      <c r="C12" s="230" t="s">
        <v>969</v>
      </c>
      <c r="D12" s="231" t="s">
        <v>970</v>
      </c>
      <c r="E12" s="230" t="s">
        <v>444</v>
      </c>
      <c r="F12" s="230">
        <v>1</v>
      </c>
      <c r="G12" s="230" t="s">
        <v>69</v>
      </c>
      <c r="H12" s="232">
        <v>3571</v>
      </c>
      <c r="I12" s="206"/>
      <c r="J12" s="264"/>
      <c r="K12" s="264"/>
      <c r="L12" s="265"/>
    </row>
    <row r="13" ht="45" customHeight="1" spans="1:12">
      <c r="A13" s="230" t="s">
        <v>966</v>
      </c>
      <c r="B13" s="72" t="s">
        <v>25</v>
      </c>
      <c r="C13" s="230" t="s">
        <v>971</v>
      </c>
      <c r="D13" s="231" t="s">
        <v>972</v>
      </c>
      <c r="E13" s="230" t="s">
        <v>444</v>
      </c>
      <c r="F13" s="230">
        <v>1</v>
      </c>
      <c r="G13" s="230" t="s">
        <v>69</v>
      </c>
      <c r="H13" s="232">
        <v>19096</v>
      </c>
      <c r="I13" s="206"/>
      <c r="J13" s="264"/>
      <c r="K13" s="264"/>
      <c r="L13" s="265"/>
    </row>
    <row r="14" ht="30" customHeight="1" spans="1:12">
      <c r="A14" s="230" t="s">
        <v>966</v>
      </c>
      <c r="B14" s="72" t="s">
        <v>25</v>
      </c>
      <c r="C14" s="230" t="s">
        <v>973</v>
      </c>
      <c r="D14" s="231" t="s">
        <v>974</v>
      </c>
      <c r="E14" s="230" t="s">
        <v>444</v>
      </c>
      <c r="F14" s="230">
        <v>1</v>
      </c>
      <c r="G14" s="230" t="s">
        <v>65</v>
      </c>
      <c r="H14" s="232">
        <v>21580</v>
      </c>
      <c r="I14" s="206"/>
      <c r="J14" s="264"/>
      <c r="K14" s="264"/>
      <c r="L14" s="265"/>
    </row>
    <row r="15" ht="28" customHeight="1" spans="1:12">
      <c r="A15" s="230" t="s">
        <v>966</v>
      </c>
      <c r="B15" s="72" t="s">
        <v>25</v>
      </c>
      <c r="C15" s="230" t="s">
        <v>975</v>
      </c>
      <c r="D15" s="231" t="s">
        <v>976</v>
      </c>
      <c r="E15" s="230" t="s">
        <v>444</v>
      </c>
      <c r="F15" s="230">
        <v>1</v>
      </c>
      <c r="G15" s="230" t="s">
        <v>65</v>
      </c>
      <c r="H15" s="232">
        <v>27704</v>
      </c>
      <c r="I15" s="206"/>
      <c r="J15" s="264"/>
      <c r="K15" s="264"/>
      <c r="L15" s="265"/>
    </row>
    <row r="16" ht="30" customHeight="1" spans="1:12">
      <c r="A16" s="230" t="s">
        <v>977</v>
      </c>
      <c r="B16" s="72" t="s">
        <v>44</v>
      </c>
      <c r="C16" s="230" t="s">
        <v>126</v>
      </c>
      <c r="D16" s="231" t="s">
        <v>127</v>
      </c>
      <c r="E16" s="230" t="s">
        <v>128</v>
      </c>
      <c r="F16" s="230">
        <v>0</v>
      </c>
      <c r="G16" s="230" t="s">
        <v>69</v>
      </c>
      <c r="H16" s="232">
        <v>0</v>
      </c>
      <c r="I16" s="206"/>
      <c r="J16" s="264"/>
      <c r="K16" s="264"/>
      <c r="L16" s="265"/>
    </row>
    <row r="17" ht="28" customHeight="1" spans="1:12">
      <c r="A17" s="172" t="s">
        <v>978</v>
      </c>
      <c r="B17" s="72" t="s">
        <v>41</v>
      </c>
      <c r="C17" s="230" t="s">
        <v>979</v>
      </c>
      <c r="D17" s="231" t="s">
        <v>980</v>
      </c>
      <c r="E17" s="230" t="s">
        <v>284</v>
      </c>
      <c r="F17" s="230">
        <v>3</v>
      </c>
      <c r="G17" s="230" t="s">
        <v>69</v>
      </c>
      <c r="H17" s="232">
        <v>362</v>
      </c>
      <c r="I17" s="206"/>
      <c r="J17" s="267"/>
      <c r="K17" s="264"/>
      <c r="L17" s="265"/>
    </row>
    <row r="18" ht="28" customHeight="1" spans="1:12">
      <c r="A18" s="230" t="s">
        <v>977</v>
      </c>
      <c r="B18" s="72" t="s">
        <v>22</v>
      </c>
      <c r="C18" s="230" t="s">
        <v>981</v>
      </c>
      <c r="D18" s="231" t="s">
        <v>982</v>
      </c>
      <c r="E18" s="230" t="s">
        <v>284</v>
      </c>
      <c r="F18" s="230">
        <v>0</v>
      </c>
      <c r="G18" s="230" t="s">
        <v>69</v>
      </c>
      <c r="H18" s="232">
        <v>1363</v>
      </c>
      <c r="I18" s="206"/>
      <c r="J18" s="264"/>
      <c r="K18" s="264"/>
      <c r="L18" s="265"/>
    </row>
    <row r="19" ht="28" customHeight="1" spans="1:12">
      <c r="A19" s="230" t="s">
        <v>978</v>
      </c>
      <c r="B19" s="72" t="s">
        <v>22</v>
      </c>
      <c r="C19" s="230" t="s">
        <v>983</v>
      </c>
      <c r="D19" s="231" t="s">
        <v>984</v>
      </c>
      <c r="E19" s="230" t="s">
        <v>444</v>
      </c>
      <c r="F19" s="230">
        <v>1</v>
      </c>
      <c r="G19" s="230" t="s">
        <v>69</v>
      </c>
      <c r="H19" s="232">
        <v>6659</v>
      </c>
      <c r="I19" s="206"/>
      <c r="J19" s="264"/>
      <c r="K19" s="264"/>
      <c r="L19" s="265"/>
    </row>
    <row r="20" ht="45" customHeight="1" spans="1:12">
      <c r="A20" s="230" t="s">
        <v>978</v>
      </c>
      <c r="B20" s="72" t="s">
        <v>22</v>
      </c>
      <c r="C20" s="230" t="s">
        <v>985</v>
      </c>
      <c r="D20" s="231" t="s">
        <v>986</v>
      </c>
      <c r="E20" s="230" t="s">
        <v>444</v>
      </c>
      <c r="F20" s="230">
        <v>1</v>
      </c>
      <c r="G20" s="230" t="s">
        <v>69</v>
      </c>
      <c r="H20" s="232">
        <v>10281</v>
      </c>
      <c r="I20" s="206"/>
      <c r="J20" s="264"/>
      <c r="K20" s="264"/>
      <c r="L20" s="265"/>
    </row>
    <row r="21" ht="28" customHeight="1" spans="1:12">
      <c r="A21" s="230" t="s">
        <v>978</v>
      </c>
      <c r="B21" s="72" t="s">
        <v>22</v>
      </c>
      <c r="C21" s="230" t="s">
        <v>987</v>
      </c>
      <c r="D21" s="231" t="s">
        <v>988</v>
      </c>
      <c r="E21" s="230" t="s">
        <v>444</v>
      </c>
      <c r="F21" s="230">
        <v>0</v>
      </c>
      <c r="G21" s="230" t="s">
        <v>65</v>
      </c>
      <c r="H21" s="232">
        <v>604</v>
      </c>
      <c r="I21" s="206"/>
      <c r="J21" s="264"/>
      <c r="K21" s="264"/>
      <c r="L21" s="265"/>
    </row>
    <row r="22" ht="28" customHeight="1" spans="1:12">
      <c r="A22" s="230" t="s">
        <v>978</v>
      </c>
      <c r="B22" s="72" t="s">
        <v>22</v>
      </c>
      <c r="C22" s="230" t="s">
        <v>989</v>
      </c>
      <c r="D22" s="231" t="s">
        <v>990</v>
      </c>
      <c r="E22" s="230" t="s">
        <v>444</v>
      </c>
      <c r="F22" s="230">
        <v>0</v>
      </c>
      <c r="G22" s="230" t="s">
        <v>65</v>
      </c>
      <c r="H22" s="232">
        <v>483</v>
      </c>
      <c r="I22" s="206"/>
      <c r="J22" s="264"/>
      <c r="K22" s="264"/>
      <c r="L22" s="265"/>
    </row>
    <row r="23" ht="28" customHeight="1" spans="1:12">
      <c r="A23" s="230" t="s">
        <v>978</v>
      </c>
      <c r="B23" s="72" t="s">
        <v>22</v>
      </c>
      <c r="C23" s="230" t="s">
        <v>991</v>
      </c>
      <c r="D23" s="231" t="s">
        <v>992</v>
      </c>
      <c r="E23" s="230" t="s">
        <v>444</v>
      </c>
      <c r="F23" s="230">
        <v>0</v>
      </c>
      <c r="G23" s="230" t="s">
        <v>65</v>
      </c>
      <c r="H23" s="232">
        <v>2829</v>
      </c>
      <c r="I23" s="206"/>
      <c r="J23" s="235"/>
      <c r="K23" s="237"/>
      <c r="L23" s="265"/>
    </row>
    <row r="24" ht="28" customHeight="1" spans="1:12">
      <c r="A24" s="230" t="s">
        <v>978</v>
      </c>
      <c r="B24" s="72" t="s">
        <v>22</v>
      </c>
      <c r="C24" s="230" t="s">
        <v>993</v>
      </c>
      <c r="D24" s="231" t="s">
        <v>994</v>
      </c>
      <c r="E24" s="230" t="s">
        <v>444</v>
      </c>
      <c r="F24" s="230">
        <v>0</v>
      </c>
      <c r="G24" s="230" t="s">
        <v>65</v>
      </c>
      <c r="H24" s="232">
        <v>2726</v>
      </c>
      <c r="I24" s="206"/>
      <c r="J24" s="235"/>
      <c r="K24" s="237"/>
      <c r="L24" s="265"/>
    </row>
    <row r="25" ht="28" customHeight="1" spans="1:12">
      <c r="A25" s="230" t="s">
        <v>978</v>
      </c>
      <c r="B25" s="72" t="s">
        <v>22</v>
      </c>
      <c r="C25" s="230" t="s">
        <v>995</v>
      </c>
      <c r="D25" s="231" t="s">
        <v>996</v>
      </c>
      <c r="E25" s="230" t="s">
        <v>444</v>
      </c>
      <c r="F25" s="230">
        <v>0</v>
      </c>
      <c r="G25" s="230" t="s">
        <v>65</v>
      </c>
      <c r="H25" s="232">
        <v>3623</v>
      </c>
      <c r="I25" s="206"/>
      <c r="J25" s="235"/>
      <c r="K25" s="237"/>
      <c r="L25" s="265"/>
    </row>
    <row r="26" ht="30" customHeight="1" spans="1:12">
      <c r="A26" s="230" t="s">
        <v>997</v>
      </c>
      <c r="B26" s="72" t="s">
        <v>22</v>
      </c>
      <c r="C26" s="230" t="s">
        <v>998</v>
      </c>
      <c r="D26" s="231" t="s">
        <v>999</v>
      </c>
      <c r="E26" s="230" t="s">
        <v>444</v>
      </c>
      <c r="F26" s="230">
        <v>1</v>
      </c>
      <c r="G26" s="230" t="s">
        <v>69</v>
      </c>
      <c r="H26" s="232">
        <v>6417</v>
      </c>
      <c r="I26" s="206"/>
      <c r="J26" s="264"/>
      <c r="K26" s="264"/>
      <c r="L26" s="265"/>
    </row>
    <row r="27" ht="30" customHeight="1" spans="1:12">
      <c r="A27" s="230" t="s">
        <v>997</v>
      </c>
      <c r="B27" s="72" t="s">
        <v>22</v>
      </c>
      <c r="C27" s="230" t="s">
        <v>1000</v>
      </c>
      <c r="D27" s="231" t="s">
        <v>1001</v>
      </c>
      <c r="E27" s="230" t="s">
        <v>444</v>
      </c>
      <c r="F27" s="230">
        <v>1</v>
      </c>
      <c r="G27" s="230" t="s">
        <v>69</v>
      </c>
      <c r="H27" s="232">
        <v>9660</v>
      </c>
      <c r="I27" s="206"/>
      <c r="J27" s="264"/>
      <c r="K27" s="264"/>
      <c r="L27" s="265"/>
    </row>
    <row r="28" ht="30" customHeight="1" spans="1:12">
      <c r="A28" s="230" t="s">
        <v>1002</v>
      </c>
      <c r="B28" s="72" t="s">
        <v>49</v>
      </c>
      <c r="C28" s="230" t="s">
        <v>1003</v>
      </c>
      <c r="D28" s="231" t="s">
        <v>1004</v>
      </c>
      <c r="E28" s="230" t="s">
        <v>132</v>
      </c>
      <c r="F28" s="230">
        <v>1</v>
      </c>
      <c r="G28" s="230" t="s">
        <v>65</v>
      </c>
      <c r="H28" s="232">
        <v>39</v>
      </c>
      <c r="I28" s="206"/>
      <c r="J28" s="264"/>
      <c r="K28" s="234"/>
    </row>
    <row r="29" ht="30" customHeight="1" spans="1:12">
      <c r="A29" s="230" t="s">
        <v>1002</v>
      </c>
      <c r="B29" s="72" t="s">
        <v>49</v>
      </c>
      <c r="C29" s="235" t="s">
        <v>1005</v>
      </c>
      <c r="D29" s="231" t="s">
        <v>1006</v>
      </c>
      <c r="E29" s="235" t="s">
        <v>132</v>
      </c>
      <c r="F29" s="235">
        <v>0</v>
      </c>
      <c r="G29" s="235" t="s">
        <v>65</v>
      </c>
      <c r="H29" s="232">
        <v>476</v>
      </c>
      <c r="I29" s="206"/>
      <c r="J29" s="237"/>
      <c r="K29" s="235"/>
    </row>
    <row r="30" ht="30" customHeight="1" spans="1:12">
      <c r="A30" s="230" t="s">
        <v>1002</v>
      </c>
      <c r="B30" s="72" t="s">
        <v>49</v>
      </c>
      <c r="C30" s="235" t="s">
        <v>1007</v>
      </c>
      <c r="D30" s="231" t="s">
        <v>1008</v>
      </c>
      <c r="E30" s="235" t="s">
        <v>132</v>
      </c>
      <c r="F30" s="235">
        <v>0</v>
      </c>
      <c r="G30" s="235" t="s">
        <v>65</v>
      </c>
      <c r="H30" s="232">
        <v>882</v>
      </c>
      <c r="I30" s="206"/>
      <c r="J30" s="237"/>
      <c r="K30" s="237"/>
    </row>
    <row r="31" ht="30" customHeight="1" spans="1:12">
      <c r="A31" s="230" t="s">
        <v>1002</v>
      </c>
      <c r="B31" s="72" t="s">
        <v>49</v>
      </c>
      <c r="C31" s="235" t="s">
        <v>1009</v>
      </c>
      <c r="D31" s="231" t="s">
        <v>1010</v>
      </c>
      <c r="E31" s="235" t="s">
        <v>132</v>
      </c>
      <c r="F31" s="235">
        <v>0</v>
      </c>
      <c r="G31" s="235" t="s">
        <v>65</v>
      </c>
      <c r="H31" s="232">
        <v>1274</v>
      </c>
      <c r="I31" s="206"/>
      <c r="J31" s="264"/>
      <c r="K31" s="237"/>
    </row>
    <row r="32" ht="30" customHeight="1" spans="1:12">
      <c r="A32" s="230" t="s">
        <v>1002</v>
      </c>
      <c r="B32" s="72" t="s">
        <v>49</v>
      </c>
      <c r="C32" s="230" t="s">
        <v>1011</v>
      </c>
      <c r="D32" s="231" t="s">
        <v>1012</v>
      </c>
      <c r="E32" s="230" t="s">
        <v>132</v>
      </c>
      <c r="F32" s="230">
        <v>0</v>
      </c>
      <c r="G32" s="230" t="s">
        <v>65</v>
      </c>
      <c r="H32" s="232">
        <v>1988</v>
      </c>
      <c r="I32" s="206"/>
      <c r="J32" s="264"/>
      <c r="K32" s="237"/>
    </row>
    <row r="33" ht="30" customHeight="1" spans="1:11">
      <c r="A33" s="230" t="s">
        <v>1002</v>
      </c>
      <c r="B33" s="72" t="s">
        <v>49</v>
      </c>
      <c r="C33" s="235" t="s">
        <v>1013</v>
      </c>
      <c r="D33" s="83" t="s">
        <v>1014</v>
      </c>
      <c r="E33" s="235" t="s">
        <v>132</v>
      </c>
      <c r="F33" s="235">
        <v>0</v>
      </c>
      <c r="G33" s="235" t="s">
        <v>69</v>
      </c>
      <c r="H33" s="232" t="s">
        <v>143</v>
      </c>
      <c r="I33" s="238"/>
      <c r="J33" s="268"/>
      <c r="K33" s="237"/>
    </row>
    <row r="34" ht="30" customHeight="1" spans="1:11">
      <c r="A34" s="230" t="s">
        <v>1002</v>
      </c>
      <c r="B34" s="72" t="s">
        <v>49</v>
      </c>
      <c r="C34" s="235" t="s">
        <v>1015</v>
      </c>
      <c r="D34" s="83" t="s">
        <v>1016</v>
      </c>
      <c r="E34" s="235" t="s">
        <v>132</v>
      </c>
      <c r="F34" s="235">
        <v>0</v>
      </c>
      <c r="G34" s="235" t="s">
        <v>69</v>
      </c>
      <c r="H34" s="232" t="s">
        <v>143</v>
      </c>
      <c r="I34" s="238"/>
      <c r="J34" s="268"/>
      <c r="K34" s="237"/>
    </row>
    <row r="35" ht="30" customHeight="1" spans="1:11">
      <c r="A35" s="230" t="s">
        <v>1002</v>
      </c>
      <c r="B35" s="72" t="s">
        <v>49</v>
      </c>
      <c r="C35" s="230" t="s">
        <v>1017</v>
      </c>
      <c r="D35" s="231" t="s">
        <v>1018</v>
      </c>
      <c r="E35" s="230" t="s">
        <v>132</v>
      </c>
      <c r="F35" s="230">
        <v>1</v>
      </c>
      <c r="G35" s="230" t="s">
        <v>65</v>
      </c>
      <c r="H35" s="232">
        <v>79</v>
      </c>
      <c r="I35" s="206"/>
      <c r="J35" s="264"/>
      <c r="K35" s="234"/>
    </row>
    <row r="36" ht="30" customHeight="1" spans="1:11">
      <c r="A36" s="230" t="s">
        <v>1002</v>
      </c>
      <c r="B36" s="72" t="s">
        <v>49</v>
      </c>
      <c r="C36" s="235" t="s">
        <v>1019</v>
      </c>
      <c r="D36" s="231" t="s">
        <v>1020</v>
      </c>
      <c r="E36" s="235" t="s">
        <v>132</v>
      </c>
      <c r="F36" s="235">
        <v>0</v>
      </c>
      <c r="G36" s="235" t="s">
        <v>65</v>
      </c>
      <c r="H36" s="232">
        <v>938</v>
      </c>
      <c r="I36" s="206"/>
      <c r="J36" s="264"/>
      <c r="K36" s="237"/>
    </row>
    <row r="37" ht="30" customHeight="1" spans="1:11">
      <c r="A37" s="230" t="s">
        <v>1002</v>
      </c>
      <c r="B37" s="72" t="s">
        <v>49</v>
      </c>
      <c r="C37" s="235" t="s">
        <v>1021</v>
      </c>
      <c r="D37" s="231" t="s">
        <v>1022</v>
      </c>
      <c r="E37" s="235" t="s">
        <v>132</v>
      </c>
      <c r="F37" s="235">
        <v>0</v>
      </c>
      <c r="G37" s="235" t="s">
        <v>65</v>
      </c>
      <c r="H37" s="232">
        <v>1764</v>
      </c>
      <c r="I37" s="206"/>
      <c r="J37" s="237"/>
      <c r="K37" s="235"/>
    </row>
    <row r="38" ht="30" customHeight="1" spans="1:11">
      <c r="A38" s="230" t="s">
        <v>1002</v>
      </c>
      <c r="B38" s="72" t="s">
        <v>49</v>
      </c>
      <c r="C38" s="230" t="s">
        <v>1023</v>
      </c>
      <c r="D38" s="231" t="s">
        <v>1024</v>
      </c>
      <c r="E38" s="230" t="s">
        <v>132</v>
      </c>
      <c r="F38" s="230">
        <v>0</v>
      </c>
      <c r="G38" s="230" t="s">
        <v>65</v>
      </c>
      <c r="H38" s="232">
        <v>2576</v>
      </c>
      <c r="I38" s="206"/>
      <c r="J38" s="264"/>
      <c r="K38" s="237"/>
    </row>
    <row r="39" ht="30" customHeight="1" spans="1:11">
      <c r="A39" s="230" t="s">
        <v>1002</v>
      </c>
      <c r="B39" s="72" t="s">
        <v>49</v>
      </c>
      <c r="C39" s="230" t="s">
        <v>1025</v>
      </c>
      <c r="D39" s="231" t="s">
        <v>1026</v>
      </c>
      <c r="E39" s="230" t="s">
        <v>132</v>
      </c>
      <c r="F39" s="230">
        <v>0</v>
      </c>
      <c r="G39" s="230" t="s">
        <v>65</v>
      </c>
      <c r="H39" s="232">
        <v>4004</v>
      </c>
      <c r="I39" s="206"/>
      <c r="J39" s="264"/>
      <c r="K39" s="237"/>
    </row>
    <row r="40" ht="30" customHeight="1" spans="1:11">
      <c r="A40" s="230" t="s">
        <v>1002</v>
      </c>
      <c r="B40" s="72" t="s">
        <v>49</v>
      </c>
      <c r="C40" s="235" t="s">
        <v>1027</v>
      </c>
      <c r="D40" s="83" t="s">
        <v>1028</v>
      </c>
      <c r="E40" s="235" t="s">
        <v>132</v>
      </c>
      <c r="F40" s="235">
        <v>0</v>
      </c>
      <c r="G40" s="235" t="s">
        <v>69</v>
      </c>
      <c r="H40" s="232" t="s">
        <v>143</v>
      </c>
      <c r="I40" s="238"/>
      <c r="J40" s="268"/>
      <c r="K40" s="237"/>
    </row>
    <row r="41" ht="30" customHeight="1" spans="1:11">
      <c r="A41" s="230" t="s">
        <v>1002</v>
      </c>
      <c r="B41" s="72" t="s">
        <v>49</v>
      </c>
      <c r="C41" s="235" t="s">
        <v>1029</v>
      </c>
      <c r="D41" s="83" t="s">
        <v>1030</v>
      </c>
      <c r="E41" s="235" t="s">
        <v>132</v>
      </c>
      <c r="F41" s="235">
        <v>0</v>
      </c>
      <c r="G41" s="235" t="s">
        <v>69</v>
      </c>
      <c r="H41" s="232" t="s">
        <v>143</v>
      </c>
      <c r="I41" s="238"/>
      <c r="J41" s="268"/>
      <c r="K41" s="237"/>
    </row>
    <row r="42" spans="1:11">
      <c r="D42" s="227"/>
    </row>
    <row r="43" spans="1:11">
      <c r="D43" s="227"/>
    </row>
    <row r="46" spans="1:11">
      <c r="D46" s="227"/>
    </row>
    <row r="47" spans="1:11">
      <c r="D47" s="227"/>
    </row>
  </sheetData>
  <autoFilter xmlns:etc="http://www.wps.cn/officeDocument/2017/etCustomData" ref="A1:J42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indexed="19"/>
  </sheetPr>
  <dimension ref="A1:K7"/>
  <sheetViews>
    <sheetView workbookViewId="0">
      <pane ySplit="1" topLeftCell="A2" activePane="bottomLeft" state="frozen"/>
      <selection/>
      <selection pane="bottomLeft" activeCell="Q9" sqref="Q9"/>
    </sheetView>
  </sheetViews>
  <sheetFormatPr defaultColWidth="9" defaultRowHeight="13.85" outlineLevelRow="6"/>
  <cols>
    <col min="1" max="2" width="25" style="184" customWidth="1"/>
    <col min="3" max="3" width="20" style="184" customWidth="1"/>
    <col min="4" max="4" width="74.6637168141593" style="214" customWidth="1"/>
    <col min="5" max="5" width="10" style="216" customWidth="1"/>
    <col min="6" max="6" width="9.66371681415929" style="246" customWidth="1"/>
    <col min="7" max="7" width="11" style="216" customWidth="1"/>
    <col min="8" max="8" width="11.1681415929204" style="215" customWidth="1"/>
    <col min="9" max="9" width="13.6637168141593" style="216" customWidth="1"/>
    <col min="10" max="10" width="12.1681415929204" style="216" customWidth="1"/>
    <col min="11" max="11" width="15.1681415929204" style="63" customWidth="1"/>
    <col min="12" max="12" width="9" style="63" customWidth="1"/>
    <col min="13" max="16384" width="9" style="63"/>
  </cols>
  <sheetData>
    <row r="1" spans="1:11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44" customHeight="1" spans="1:11">
      <c r="A2" s="72" t="s">
        <v>1031</v>
      </c>
      <c r="B2" s="72" t="s">
        <v>49</v>
      </c>
      <c r="C2" s="125" t="s">
        <v>1032</v>
      </c>
      <c r="D2" s="73" t="s">
        <v>1033</v>
      </c>
      <c r="E2" s="72" t="s">
        <v>132</v>
      </c>
      <c r="F2" s="74">
        <v>1</v>
      </c>
      <c r="G2" s="72" t="s">
        <v>65</v>
      </c>
      <c r="H2" s="205">
        <v>68</v>
      </c>
      <c r="I2" s="72"/>
      <c r="J2" s="114"/>
      <c r="K2" s="95"/>
    </row>
    <row r="3" ht="44" customHeight="1" spans="1:11">
      <c r="A3" s="72" t="s">
        <v>1031</v>
      </c>
      <c r="B3" s="72" t="s">
        <v>49</v>
      </c>
      <c r="C3" s="125" t="s">
        <v>1034</v>
      </c>
      <c r="D3" s="73" t="s">
        <v>1035</v>
      </c>
      <c r="E3" s="72" t="s">
        <v>132</v>
      </c>
      <c r="F3" s="74">
        <v>1</v>
      </c>
      <c r="G3" s="72" t="s">
        <v>65</v>
      </c>
      <c r="H3" s="205">
        <v>106</v>
      </c>
      <c r="I3" s="72"/>
      <c r="J3" s="114"/>
      <c r="K3" s="95"/>
    </row>
    <row r="4" ht="44" customHeight="1" spans="1:11">
      <c r="A4" s="72" t="s">
        <v>1031</v>
      </c>
      <c r="B4" s="72" t="s">
        <v>49</v>
      </c>
      <c r="C4" s="125" t="s">
        <v>1036</v>
      </c>
      <c r="D4" s="73" t="s">
        <v>1037</v>
      </c>
      <c r="E4" s="72" t="s">
        <v>132</v>
      </c>
      <c r="F4" s="74">
        <v>1</v>
      </c>
      <c r="G4" s="72" t="s">
        <v>65</v>
      </c>
      <c r="H4" s="205">
        <v>36</v>
      </c>
      <c r="I4" s="72"/>
      <c r="J4" s="114"/>
      <c r="K4" s="95"/>
    </row>
    <row r="5" ht="44" customHeight="1" spans="1:11">
      <c r="A5" s="72" t="s">
        <v>1031</v>
      </c>
      <c r="B5" s="72" t="s">
        <v>49</v>
      </c>
      <c r="C5" s="125" t="s">
        <v>1038</v>
      </c>
      <c r="D5" s="73" t="s">
        <v>1039</v>
      </c>
      <c r="E5" s="72" t="s">
        <v>132</v>
      </c>
      <c r="F5" s="74">
        <v>1</v>
      </c>
      <c r="G5" s="72" t="s">
        <v>65</v>
      </c>
      <c r="H5" s="205">
        <v>61</v>
      </c>
      <c r="I5" s="72"/>
      <c r="J5" s="114"/>
      <c r="K5" s="95"/>
    </row>
    <row r="6" ht="44" customHeight="1" spans="1:11">
      <c r="A6" s="72" t="s">
        <v>1031</v>
      </c>
      <c r="B6" s="72" t="s">
        <v>49</v>
      </c>
      <c r="C6" s="125" t="s">
        <v>1040</v>
      </c>
      <c r="D6" s="73" t="s">
        <v>1041</v>
      </c>
      <c r="E6" s="72" t="s">
        <v>132</v>
      </c>
      <c r="F6" s="74">
        <v>0</v>
      </c>
      <c r="G6" s="72" t="s">
        <v>69</v>
      </c>
      <c r="H6" s="205">
        <v>812</v>
      </c>
      <c r="I6" s="72"/>
      <c r="J6" s="114"/>
      <c r="K6" s="95"/>
    </row>
    <row r="7" ht="44" customHeight="1" spans="1:11">
      <c r="A7" s="72" t="s">
        <v>1031</v>
      </c>
      <c r="B7" s="72" t="s">
        <v>49</v>
      </c>
      <c r="C7" s="125" t="s">
        <v>1042</v>
      </c>
      <c r="D7" s="73" t="s">
        <v>1043</v>
      </c>
      <c r="E7" s="72" t="s">
        <v>132</v>
      </c>
      <c r="F7" s="74">
        <v>0</v>
      </c>
      <c r="G7" s="72" t="s">
        <v>65</v>
      </c>
      <c r="H7" s="205">
        <v>434</v>
      </c>
      <c r="I7" s="72"/>
      <c r="J7" s="114"/>
      <c r="K7" s="95"/>
    </row>
  </sheetData>
  <autoFilter xmlns:etc="http://www.wps.cn/officeDocument/2017/etCustomData" ref="A1:J7" etc:filterBottomFollowUsedRange="0">
    <extLst/>
  </autoFilter>
  <pageMargins left="0.75" right="0.75" top="1" bottom="1" header="0.5" footer="0.5"/>
  <pageSetup paperSize="1" scale="51" orientation="portrait"/>
  <headerFooter alignWithMargins="0">
    <oddHeader>&amp;C&amp;"Arial,Bold"&amp;12 OmniSwitch 6450Worldwide Price List - February 2015&amp;RAs of 02/09/2015</oddHeader>
    <oddFooter>&amp;CAlcatel-Lucent - Enterprise Solutions Division -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S45"/>
  <sheetViews>
    <sheetView zoomScaleSheetLayoutView="93" workbookViewId="0">
      <pane ySplit="1" topLeftCell="A21" activePane="bottomLeft" state="frozen"/>
      <selection/>
      <selection pane="bottomLeft" activeCell="M1" sqref="M$1:O$1048576"/>
    </sheetView>
  </sheetViews>
  <sheetFormatPr defaultColWidth="8.66371681415929" defaultRowHeight="13.85"/>
  <cols>
    <col min="1" max="2" width="25.1681415929204" style="184" customWidth="1"/>
    <col min="3" max="3" width="19.1681415929204" style="184" customWidth="1"/>
    <col min="4" max="4" width="58.6637168141593" style="214" customWidth="1"/>
    <col min="5" max="5" width="10" style="216" customWidth="1"/>
    <col min="6" max="6" width="9.66371681415929" style="246" customWidth="1"/>
    <col min="7" max="7" width="13.6637168141593" style="216" customWidth="1"/>
    <col min="8" max="8" width="12.1681415929204" style="215" customWidth="1"/>
    <col min="9" max="9" width="14.6637168141593" style="216" customWidth="1"/>
    <col min="10" max="10" width="12.6637168141593" style="216" customWidth="1"/>
    <col min="11" max="11" width="20.1681415929204" style="63" customWidth="1"/>
    <col min="12" max="12" width="9.66371681415929" style="63" customWidth="1"/>
    <col min="13" max="253" width="9.16814159292035" style="63" customWidth="1"/>
    <col min="254" max="254" width="25.1681415929204" style="63" customWidth="1"/>
    <col min="255" max="255" width="19.1681415929204" style="63" customWidth="1"/>
    <col min="256" max="256" width="58.6637168141593" style="63" customWidth="1"/>
    <col min="257" max="257" width="10" style="63" customWidth="1"/>
    <col min="258" max="258" width="9.66371681415929" style="63" customWidth="1"/>
    <col min="259" max="259" width="11.1681415929204" style="63" customWidth="1"/>
    <col min="260" max="260" width="10.6637168141593" style="63" customWidth="1"/>
    <col min="261" max="261" width="11.1681415929204" style="63" customWidth="1"/>
    <col min="262" max="262" width="10.1681415929204" style="63" customWidth="1"/>
    <col min="263" max="263" width="7.66371681415929" style="63" customWidth="1"/>
    <col min="264" max="509" width="9.16814159292035" style="63" customWidth="1"/>
    <col min="510" max="510" width="25.1681415929204" style="63" customWidth="1"/>
    <col min="511" max="511" width="19.1681415929204" style="63" customWidth="1"/>
    <col min="512" max="512" width="58.6637168141593" style="63" customWidth="1"/>
    <col min="513" max="513" width="10" style="63" customWidth="1"/>
    <col min="514" max="514" width="9.66371681415929" style="63" customWidth="1"/>
    <col min="515" max="515" width="11.1681415929204" style="63" customWidth="1"/>
    <col min="516" max="516" width="10.6637168141593" style="63" customWidth="1"/>
    <col min="517" max="517" width="11.1681415929204" style="63" customWidth="1"/>
    <col min="518" max="518" width="10.1681415929204" style="63" customWidth="1"/>
    <col min="519" max="519" width="7.66371681415929" style="63" customWidth="1"/>
    <col min="520" max="765" width="9.16814159292035" style="63" customWidth="1"/>
    <col min="766" max="766" width="25.1681415929204" style="63" customWidth="1"/>
    <col min="767" max="767" width="19.1681415929204" style="63" customWidth="1"/>
    <col min="768" max="768" width="58.6637168141593" style="63" customWidth="1"/>
    <col min="769" max="769" width="10" style="63" customWidth="1"/>
    <col min="770" max="770" width="9.66371681415929" style="63" customWidth="1"/>
    <col min="771" max="771" width="11.1681415929204" style="63" customWidth="1"/>
    <col min="772" max="772" width="10.6637168141593" style="63" customWidth="1"/>
    <col min="773" max="773" width="11.1681415929204" style="63" customWidth="1"/>
    <col min="774" max="774" width="10.1681415929204" style="63" customWidth="1"/>
    <col min="775" max="775" width="7.66371681415929" style="63" customWidth="1"/>
    <col min="776" max="1021" width="9.16814159292035" style="63" customWidth="1"/>
    <col min="1022" max="1022" width="25.1681415929204" style="63" customWidth="1"/>
    <col min="1023" max="1023" width="19.1681415929204" style="63" customWidth="1"/>
    <col min="1024" max="1024" width="58.6637168141593" style="63" customWidth="1"/>
    <col min="1025" max="1025" width="10" style="63" customWidth="1"/>
    <col min="1026" max="1026" width="9.66371681415929" style="63" customWidth="1"/>
    <col min="1027" max="1027" width="11.1681415929204" style="63" customWidth="1"/>
    <col min="1028" max="1028" width="10.6637168141593" style="63" customWidth="1"/>
    <col min="1029" max="1029" width="11.1681415929204" style="63" customWidth="1"/>
    <col min="1030" max="1030" width="10.1681415929204" style="63" customWidth="1"/>
    <col min="1031" max="1031" width="7.66371681415929" style="63" customWidth="1"/>
    <col min="1032" max="1277" width="9.16814159292035" style="63" customWidth="1"/>
    <col min="1278" max="1278" width="25.1681415929204" style="63" customWidth="1"/>
    <col min="1279" max="1279" width="19.1681415929204" style="63" customWidth="1"/>
    <col min="1280" max="1280" width="58.6637168141593" style="63" customWidth="1"/>
    <col min="1281" max="1281" width="10" style="63" customWidth="1"/>
    <col min="1282" max="1282" width="9.66371681415929" style="63" customWidth="1"/>
    <col min="1283" max="1283" width="11.1681415929204" style="63" customWidth="1"/>
    <col min="1284" max="1284" width="10.6637168141593" style="63" customWidth="1"/>
    <col min="1285" max="1285" width="11.1681415929204" style="63" customWidth="1"/>
    <col min="1286" max="1286" width="10.1681415929204" style="63" customWidth="1"/>
    <col min="1287" max="1287" width="7.66371681415929" style="63" customWidth="1"/>
    <col min="1288" max="1533" width="9.16814159292035" style="63" customWidth="1"/>
    <col min="1534" max="1534" width="25.1681415929204" style="63" customWidth="1"/>
    <col min="1535" max="1535" width="19.1681415929204" style="63" customWidth="1"/>
    <col min="1536" max="1536" width="58.6637168141593" style="63" customWidth="1"/>
    <col min="1537" max="1537" width="10" style="63" customWidth="1"/>
    <col min="1538" max="1538" width="9.66371681415929" style="63" customWidth="1"/>
    <col min="1539" max="1539" width="11.1681415929204" style="63" customWidth="1"/>
    <col min="1540" max="1540" width="10.6637168141593" style="63" customWidth="1"/>
    <col min="1541" max="1541" width="11.1681415929204" style="63" customWidth="1"/>
    <col min="1542" max="1542" width="10.1681415929204" style="63" customWidth="1"/>
    <col min="1543" max="1543" width="7.66371681415929" style="63" customWidth="1"/>
    <col min="1544" max="1789" width="9.16814159292035" style="63" customWidth="1"/>
    <col min="1790" max="1790" width="25.1681415929204" style="63" customWidth="1"/>
    <col min="1791" max="1791" width="19.1681415929204" style="63" customWidth="1"/>
    <col min="1792" max="1792" width="58.6637168141593" style="63" customWidth="1"/>
    <col min="1793" max="1793" width="10" style="63" customWidth="1"/>
    <col min="1794" max="1794" width="9.66371681415929" style="63" customWidth="1"/>
    <col min="1795" max="1795" width="11.1681415929204" style="63" customWidth="1"/>
    <col min="1796" max="1796" width="10.6637168141593" style="63" customWidth="1"/>
    <col min="1797" max="1797" width="11.1681415929204" style="63" customWidth="1"/>
    <col min="1798" max="1798" width="10.1681415929204" style="63" customWidth="1"/>
    <col min="1799" max="1799" width="7.66371681415929" style="63" customWidth="1"/>
    <col min="1800" max="2045" width="9.16814159292035" style="63" customWidth="1"/>
    <col min="2046" max="2046" width="25.1681415929204" style="63" customWidth="1"/>
    <col min="2047" max="2047" width="19.1681415929204" style="63" customWidth="1"/>
    <col min="2048" max="2048" width="58.6637168141593" style="63" customWidth="1"/>
    <col min="2049" max="2049" width="10" style="63" customWidth="1"/>
    <col min="2050" max="2050" width="9.66371681415929" style="63" customWidth="1"/>
    <col min="2051" max="2051" width="11.1681415929204" style="63" customWidth="1"/>
    <col min="2052" max="2052" width="10.6637168141593" style="63" customWidth="1"/>
    <col min="2053" max="2053" width="11.1681415929204" style="63" customWidth="1"/>
    <col min="2054" max="2054" width="10.1681415929204" style="63" customWidth="1"/>
    <col min="2055" max="2055" width="7.66371681415929" style="63" customWidth="1"/>
    <col min="2056" max="2301" width="9.16814159292035" style="63" customWidth="1"/>
    <col min="2302" max="2302" width="25.1681415929204" style="63" customWidth="1"/>
    <col min="2303" max="2303" width="19.1681415929204" style="63" customWidth="1"/>
    <col min="2304" max="2304" width="58.6637168141593" style="63" customWidth="1"/>
    <col min="2305" max="2305" width="10" style="63" customWidth="1"/>
    <col min="2306" max="2306" width="9.66371681415929" style="63" customWidth="1"/>
    <col min="2307" max="2307" width="11.1681415929204" style="63" customWidth="1"/>
    <col min="2308" max="2308" width="10.6637168141593" style="63" customWidth="1"/>
    <col min="2309" max="2309" width="11.1681415929204" style="63" customWidth="1"/>
    <col min="2310" max="2310" width="10.1681415929204" style="63" customWidth="1"/>
    <col min="2311" max="2311" width="7.66371681415929" style="63" customWidth="1"/>
    <col min="2312" max="2557" width="9.16814159292035" style="63" customWidth="1"/>
    <col min="2558" max="2558" width="25.1681415929204" style="63" customWidth="1"/>
    <col min="2559" max="2559" width="19.1681415929204" style="63" customWidth="1"/>
    <col min="2560" max="2560" width="58.6637168141593" style="63" customWidth="1"/>
    <col min="2561" max="2561" width="10" style="63" customWidth="1"/>
    <col min="2562" max="2562" width="9.66371681415929" style="63" customWidth="1"/>
    <col min="2563" max="2563" width="11.1681415929204" style="63" customWidth="1"/>
    <col min="2564" max="2564" width="10.6637168141593" style="63" customWidth="1"/>
    <col min="2565" max="2565" width="11.1681415929204" style="63" customWidth="1"/>
    <col min="2566" max="2566" width="10.1681415929204" style="63" customWidth="1"/>
    <col min="2567" max="2567" width="7.66371681415929" style="63" customWidth="1"/>
    <col min="2568" max="2813" width="9.16814159292035" style="63" customWidth="1"/>
    <col min="2814" max="2814" width="25.1681415929204" style="63" customWidth="1"/>
    <col min="2815" max="2815" width="19.1681415929204" style="63" customWidth="1"/>
    <col min="2816" max="2816" width="58.6637168141593" style="63" customWidth="1"/>
    <col min="2817" max="2817" width="10" style="63" customWidth="1"/>
    <col min="2818" max="2818" width="9.66371681415929" style="63" customWidth="1"/>
    <col min="2819" max="2819" width="11.1681415929204" style="63" customWidth="1"/>
    <col min="2820" max="2820" width="10.6637168141593" style="63" customWidth="1"/>
    <col min="2821" max="2821" width="11.1681415929204" style="63" customWidth="1"/>
    <col min="2822" max="2822" width="10.1681415929204" style="63" customWidth="1"/>
    <col min="2823" max="2823" width="7.66371681415929" style="63" customWidth="1"/>
    <col min="2824" max="3069" width="9.16814159292035" style="63" customWidth="1"/>
    <col min="3070" max="3070" width="25.1681415929204" style="63" customWidth="1"/>
    <col min="3071" max="3071" width="19.1681415929204" style="63" customWidth="1"/>
    <col min="3072" max="3072" width="58.6637168141593" style="63" customWidth="1"/>
    <col min="3073" max="3073" width="10" style="63" customWidth="1"/>
    <col min="3074" max="3074" width="9.66371681415929" style="63" customWidth="1"/>
    <col min="3075" max="3075" width="11.1681415929204" style="63" customWidth="1"/>
    <col min="3076" max="3076" width="10.6637168141593" style="63" customWidth="1"/>
    <col min="3077" max="3077" width="11.1681415929204" style="63" customWidth="1"/>
    <col min="3078" max="3078" width="10.1681415929204" style="63" customWidth="1"/>
    <col min="3079" max="3079" width="7.66371681415929" style="63" customWidth="1"/>
    <col min="3080" max="3325" width="9.16814159292035" style="63" customWidth="1"/>
    <col min="3326" max="3326" width="25.1681415929204" style="63" customWidth="1"/>
    <col min="3327" max="3327" width="19.1681415929204" style="63" customWidth="1"/>
    <col min="3328" max="3328" width="58.6637168141593" style="63" customWidth="1"/>
    <col min="3329" max="3329" width="10" style="63" customWidth="1"/>
    <col min="3330" max="3330" width="9.66371681415929" style="63" customWidth="1"/>
    <col min="3331" max="3331" width="11.1681415929204" style="63" customWidth="1"/>
    <col min="3332" max="3332" width="10.6637168141593" style="63" customWidth="1"/>
    <col min="3333" max="3333" width="11.1681415929204" style="63" customWidth="1"/>
    <col min="3334" max="3334" width="10.1681415929204" style="63" customWidth="1"/>
    <col min="3335" max="3335" width="7.66371681415929" style="63" customWidth="1"/>
    <col min="3336" max="3581" width="9.16814159292035" style="63" customWidth="1"/>
    <col min="3582" max="3582" width="25.1681415929204" style="63" customWidth="1"/>
    <col min="3583" max="3583" width="19.1681415929204" style="63" customWidth="1"/>
    <col min="3584" max="3584" width="58.6637168141593" style="63" customWidth="1"/>
    <col min="3585" max="3585" width="10" style="63" customWidth="1"/>
    <col min="3586" max="3586" width="9.66371681415929" style="63" customWidth="1"/>
    <col min="3587" max="3587" width="11.1681415929204" style="63" customWidth="1"/>
    <col min="3588" max="3588" width="10.6637168141593" style="63" customWidth="1"/>
    <col min="3589" max="3589" width="11.1681415929204" style="63" customWidth="1"/>
    <col min="3590" max="3590" width="10.1681415929204" style="63" customWidth="1"/>
    <col min="3591" max="3591" width="7.66371681415929" style="63" customWidth="1"/>
    <col min="3592" max="3837" width="9.16814159292035" style="63" customWidth="1"/>
    <col min="3838" max="3838" width="25.1681415929204" style="63" customWidth="1"/>
    <col min="3839" max="3839" width="19.1681415929204" style="63" customWidth="1"/>
    <col min="3840" max="3840" width="58.6637168141593" style="63" customWidth="1"/>
    <col min="3841" max="3841" width="10" style="63" customWidth="1"/>
    <col min="3842" max="3842" width="9.66371681415929" style="63" customWidth="1"/>
    <col min="3843" max="3843" width="11.1681415929204" style="63" customWidth="1"/>
    <col min="3844" max="3844" width="10.6637168141593" style="63" customWidth="1"/>
    <col min="3845" max="3845" width="11.1681415929204" style="63" customWidth="1"/>
    <col min="3846" max="3846" width="10.1681415929204" style="63" customWidth="1"/>
    <col min="3847" max="3847" width="7.66371681415929" style="63" customWidth="1"/>
    <col min="3848" max="4093" width="9.16814159292035" style="63" customWidth="1"/>
    <col min="4094" max="4094" width="25.1681415929204" style="63" customWidth="1"/>
    <col min="4095" max="4095" width="19.1681415929204" style="63" customWidth="1"/>
    <col min="4096" max="4096" width="58.6637168141593" style="63" customWidth="1"/>
    <col min="4097" max="4097" width="10" style="63" customWidth="1"/>
    <col min="4098" max="4098" width="9.66371681415929" style="63" customWidth="1"/>
    <col min="4099" max="4099" width="11.1681415929204" style="63" customWidth="1"/>
    <col min="4100" max="4100" width="10.6637168141593" style="63" customWidth="1"/>
    <col min="4101" max="4101" width="11.1681415929204" style="63" customWidth="1"/>
    <col min="4102" max="4102" width="10.1681415929204" style="63" customWidth="1"/>
    <col min="4103" max="4103" width="7.66371681415929" style="63" customWidth="1"/>
    <col min="4104" max="4349" width="9.16814159292035" style="63" customWidth="1"/>
    <col min="4350" max="4350" width="25.1681415929204" style="63" customWidth="1"/>
    <col min="4351" max="4351" width="19.1681415929204" style="63" customWidth="1"/>
    <col min="4352" max="4352" width="58.6637168141593" style="63" customWidth="1"/>
    <col min="4353" max="4353" width="10" style="63" customWidth="1"/>
    <col min="4354" max="4354" width="9.66371681415929" style="63" customWidth="1"/>
    <col min="4355" max="4355" width="11.1681415929204" style="63" customWidth="1"/>
    <col min="4356" max="4356" width="10.6637168141593" style="63" customWidth="1"/>
    <col min="4357" max="4357" width="11.1681415929204" style="63" customWidth="1"/>
    <col min="4358" max="4358" width="10.1681415929204" style="63" customWidth="1"/>
    <col min="4359" max="4359" width="7.66371681415929" style="63" customWidth="1"/>
    <col min="4360" max="4605" width="9.16814159292035" style="63" customWidth="1"/>
    <col min="4606" max="4606" width="25.1681415929204" style="63" customWidth="1"/>
    <col min="4607" max="4607" width="19.1681415929204" style="63" customWidth="1"/>
    <col min="4608" max="4608" width="58.6637168141593" style="63" customWidth="1"/>
    <col min="4609" max="4609" width="10" style="63" customWidth="1"/>
    <col min="4610" max="4610" width="9.66371681415929" style="63" customWidth="1"/>
    <col min="4611" max="4611" width="11.1681415929204" style="63" customWidth="1"/>
    <col min="4612" max="4612" width="10.6637168141593" style="63" customWidth="1"/>
    <col min="4613" max="4613" width="11.1681415929204" style="63" customWidth="1"/>
    <col min="4614" max="4614" width="10.1681415929204" style="63" customWidth="1"/>
    <col min="4615" max="4615" width="7.66371681415929" style="63" customWidth="1"/>
    <col min="4616" max="4861" width="9.16814159292035" style="63" customWidth="1"/>
    <col min="4862" max="4862" width="25.1681415929204" style="63" customWidth="1"/>
    <col min="4863" max="4863" width="19.1681415929204" style="63" customWidth="1"/>
    <col min="4864" max="4864" width="58.6637168141593" style="63" customWidth="1"/>
    <col min="4865" max="4865" width="10" style="63" customWidth="1"/>
    <col min="4866" max="4866" width="9.66371681415929" style="63" customWidth="1"/>
    <col min="4867" max="4867" width="11.1681415929204" style="63" customWidth="1"/>
    <col min="4868" max="4868" width="10.6637168141593" style="63" customWidth="1"/>
    <col min="4869" max="4869" width="11.1681415929204" style="63" customWidth="1"/>
    <col min="4870" max="4870" width="10.1681415929204" style="63" customWidth="1"/>
    <col min="4871" max="4871" width="7.66371681415929" style="63" customWidth="1"/>
    <col min="4872" max="5117" width="9.16814159292035" style="63" customWidth="1"/>
    <col min="5118" max="5118" width="25.1681415929204" style="63" customWidth="1"/>
    <col min="5119" max="5119" width="19.1681415929204" style="63" customWidth="1"/>
    <col min="5120" max="5120" width="58.6637168141593" style="63" customWidth="1"/>
    <col min="5121" max="5121" width="10" style="63" customWidth="1"/>
    <col min="5122" max="5122" width="9.66371681415929" style="63" customWidth="1"/>
    <col min="5123" max="5123" width="11.1681415929204" style="63" customWidth="1"/>
    <col min="5124" max="5124" width="10.6637168141593" style="63" customWidth="1"/>
    <col min="5125" max="5125" width="11.1681415929204" style="63" customWidth="1"/>
    <col min="5126" max="5126" width="10.1681415929204" style="63" customWidth="1"/>
    <col min="5127" max="5127" width="7.66371681415929" style="63" customWidth="1"/>
    <col min="5128" max="5373" width="9.16814159292035" style="63" customWidth="1"/>
    <col min="5374" max="5374" width="25.1681415929204" style="63" customWidth="1"/>
    <col min="5375" max="5375" width="19.1681415929204" style="63" customWidth="1"/>
    <col min="5376" max="5376" width="58.6637168141593" style="63" customWidth="1"/>
    <col min="5377" max="5377" width="10" style="63" customWidth="1"/>
    <col min="5378" max="5378" width="9.66371681415929" style="63" customWidth="1"/>
    <col min="5379" max="5379" width="11.1681415929204" style="63" customWidth="1"/>
    <col min="5380" max="5380" width="10.6637168141593" style="63" customWidth="1"/>
    <col min="5381" max="5381" width="11.1681415929204" style="63" customWidth="1"/>
    <col min="5382" max="5382" width="10.1681415929204" style="63" customWidth="1"/>
    <col min="5383" max="5383" width="7.66371681415929" style="63" customWidth="1"/>
    <col min="5384" max="5629" width="9.16814159292035" style="63" customWidth="1"/>
    <col min="5630" max="5630" width="25.1681415929204" style="63" customWidth="1"/>
    <col min="5631" max="5631" width="19.1681415929204" style="63" customWidth="1"/>
    <col min="5632" max="5632" width="58.6637168141593" style="63" customWidth="1"/>
    <col min="5633" max="5633" width="10" style="63" customWidth="1"/>
    <col min="5634" max="5634" width="9.66371681415929" style="63" customWidth="1"/>
    <col min="5635" max="5635" width="11.1681415929204" style="63" customWidth="1"/>
    <col min="5636" max="5636" width="10.6637168141593" style="63" customWidth="1"/>
    <col min="5637" max="5637" width="11.1681415929204" style="63" customWidth="1"/>
    <col min="5638" max="5638" width="10.1681415929204" style="63" customWidth="1"/>
    <col min="5639" max="5639" width="7.66371681415929" style="63" customWidth="1"/>
    <col min="5640" max="5885" width="9.16814159292035" style="63" customWidth="1"/>
    <col min="5886" max="5886" width="25.1681415929204" style="63" customWidth="1"/>
    <col min="5887" max="5887" width="19.1681415929204" style="63" customWidth="1"/>
    <col min="5888" max="5888" width="58.6637168141593" style="63" customWidth="1"/>
    <col min="5889" max="5889" width="10" style="63" customWidth="1"/>
    <col min="5890" max="5890" width="9.66371681415929" style="63" customWidth="1"/>
    <col min="5891" max="5891" width="11.1681415929204" style="63" customWidth="1"/>
    <col min="5892" max="5892" width="10.6637168141593" style="63" customWidth="1"/>
    <col min="5893" max="5893" width="11.1681415929204" style="63" customWidth="1"/>
    <col min="5894" max="5894" width="10.1681415929204" style="63" customWidth="1"/>
    <col min="5895" max="5895" width="7.66371681415929" style="63" customWidth="1"/>
    <col min="5896" max="6141" width="9.16814159292035" style="63" customWidth="1"/>
    <col min="6142" max="6142" width="25.1681415929204" style="63" customWidth="1"/>
    <col min="6143" max="6143" width="19.1681415929204" style="63" customWidth="1"/>
    <col min="6144" max="6144" width="58.6637168141593" style="63" customWidth="1"/>
    <col min="6145" max="6145" width="10" style="63" customWidth="1"/>
    <col min="6146" max="6146" width="9.66371681415929" style="63" customWidth="1"/>
    <col min="6147" max="6147" width="11.1681415929204" style="63" customWidth="1"/>
    <col min="6148" max="6148" width="10.6637168141593" style="63" customWidth="1"/>
    <col min="6149" max="6149" width="11.1681415929204" style="63" customWidth="1"/>
    <col min="6150" max="6150" width="10.1681415929204" style="63" customWidth="1"/>
    <col min="6151" max="6151" width="7.66371681415929" style="63" customWidth="1"/>
    <col min="6152" max="6397" width="9.16814159292035" style="63" customWidth="1"/>
    <col min="6398" max="6398" width="25.1681415929204" style="63" customWidth="1"/>
    <col min="6399" max="6399" width="19.1681415929204" style="63" customWidth="1"/>
    <col min="6400" max="6400" width="58.6637168141593" style="63" customWidth="1"/>
    <col min="6401" max="6401" width="10" style="63" customWidth="1"/>
    <col min="6402" max="6402" width="9.66371681415929" style="63" customWidth="1"/>
    <col min="6403" max="6403" width="11.1681415929204" style="63" customWidth="1"/>
    <col min="6404" max="6404" width="10.6637168141593" style="63" customWidth="1"/>
    <col min="6405" max="6405" width="11.1681415929204" style="63" customWidth="1"/>
    <col min="6406" max="6406" width="10.1681415929204" style="63" customWidth="1"/>
    <col min="6407" max="6407" width="7.66371681415929" style="63" customWidth="1"/>
    <col min="6408" max="6653" width="9.16814159292035" style="63" customWidth="1"/>
    <col min="6654" max="6654" width="25.1681415929204" style="63" customWidth="1"/>
    <col min="6655" max="6655" width="19.1681415929204" style="63" customWidth="1"/>
    <col min="6656" max="6656" width="58.6637168141593" style="63" customWidth="1"/>
    <col min="6657" max="6657" width="10" style="63" customWidth="1"/>
    <col min="6658" max="6658" width="9.66371681415929" style="63" customWidth="1"/>
    <col min="6659" max="6659" width="11.1681415929204" style="63" customWidth="1"/>
    <col min="6660" max="6660" width="10.6637168141593" style="63" customWidth="1"/>
    <col min="6661" max="6661" width="11.1681415929204" style="63" customWidth="1"/>
    <col min="6662" max="6662" width="10.1681415929204" style="63" customWidth="1"/>
    <col min="6663" max="6663" width="7.66371681415929" style="63" customWidth="1"/>
    <col min="6664" max="6909" width="9.16814159292035" style="63" customWidth="1"/>
    <col min="6910" max="6910" width="25.1681415929204" style="63" customWidth="1"/>
    <col min="6911" max="6911" width="19.1681415929204" style="63" customWidth="1"/>
    <col min="6912" max="6912" width="58.6637168141593" style="63" customWidth="1"/>
    <col min="6913" max="6913" width="10" style="63" customWidth="1"/>
    <col min="6914" max="6914" width="9.66371681415929" style="63" customWidth="1"/>
    <col min="6915" max="6915" width="11.1681415929204" style="63" customWidth="1"/>
    <col min="6916" max="6916" width="10.6637168141593" style="63" customWidth="1"/>
    <col min="6917" max="6917" width="11.1681415929204" style="63" customWidth="1"/>
    <col min="6918" max="6918" width="10.1681415929204" style="63" customWidth="1"/>
    <col min="6919" max="6919" width="7.66371681415929" style="63" customWidth="1"/>
    <col min="6920" max="7165" width="9.16814159292035" style="63" customWidth="1"/>
    <col min="7166" max="7166" width="25.1681415929204" style="63" customWidth="1"/>
    <col min="7167" max="7167" width="19.1681415929204" style="63" customWidth="1"/>
    <col min="7168" max="7168" width="58.6637168141593" style="63" customWidth="1"/>
    <col min="7169" max="7169" width="10" style="63" customWidth="1"/>
    <col min="7170" max="7170" width="9.66371681415929" style="63" customWidth="1"/>
    <col min="7171" max="7171" width="11.1681415929204" style="63" customWidth="1"/>
    <col min="7172" max="7172" width="10.6637168141593" style="63" customWidth="1"/>
    <col min="7173" max="7173" width="11.1681415929204" style="63" customWidth="1"/>
    <col min="7174" max="7174" width="10.1681415929204" style="63" customWidth="1"/>
    <col min="7175" max="7175" width="7.66371681415929" style="63" customWidth="1"/>
    <col min="7176" max="7421" width="9.16814159292035" style="63" customWidth="1"/>
    <col min="7422" max="7422" width="25.1681415929204" style="63" customWidth="1"/>
    <col min="7423" max="7423" width="19.1681415929204" style="63" customWidth="1"/>
    <col min="7424" max="7424" width="58.6637168141593" style="63" customWidth="1"/>
    <col min="7425" max="7425" width="10" style="63" customWidth="1"/>
    <col min="7426" max="7426" width="9.66371681415929" style="63" customWidth="1"/>
    <col min="7427" max="7427" width="11.1681415929204" style="63" customWidth="1"/>
    <col min="7428" max="7428" width="10.6637168141593" style="63" customWidth="1"/>
    <col min="7429" max="7429" width="11.1681415929204" style="63" customWidth="1"/>
    <col min="7430" max="7430" width="10.1681415929204" style="63" customWidth="1"/>
    <col min="7431" max="7431" width="7.66371681415929" style="63" customWidth="1"/>
    <col min="7432" max="7677" width="9.16814159292035" style="63" customWidth="1"/>
    <col min="7678" max="7678" width="25.1681415929204" style="63" customWidth="1"/>
    <col min="7679" max="7679" width="19.1681415929204" style="63" customWidth="1"/>
    <col min="7680" max="7680" width="58.6637168141593" style="63" customWidth="1"/>
    <col min="7681" max="7681" width="10" style="63" customWidth="1"/>
    <col min="7682" max="7682" width="9.66371681415929" style="63" customWidth="1"/>
    <col min="7683" max="7683" width="11.1681415929204" style="63" customWidth="1"/>
    <col min="7684" max="7684" width="10.6637168141593" style="63" customWidth="1"/>
    <col min="7685" max="7685" width="11.1681415929204" style="63" customWidth="1"/>
    <col min="7686" max="7686" width="10.1681415929204" style="63" customWidth="1"/>
    <col min="7687" max="7687" width="7.66371681415929" style="63" customWidth="1"/>
    <col min="7688" max="7933" width="9.16814159292035" style="63" customWidth="1"/>
    <col min="7934" max="7934" width="25.1681415929204" style="63" customWidth="1"/>
    <col min="7935" max="7935" width="19.1681415929204" style="63" customWidth="1"/>
    <col min="7936" max="7936" width="58.6637168141593" style="63" customWidth="1"/>
    <col min="7937" max="7937" width="10" style="63" customWidth="1"/>
    <col min="7938" max="7938" width="9.66371681415929" style="63" customWidth="1"/>
    <col min="7939" max="7939" width="11.1681415929204" style="63" customWidth="1"/>
    <col min="7940" max="7940" width="10.6637168141593" style="63" customWidth="1"/>
    <col min="7941" max="7941" width="11.1681415929204" style="63" customWidth="1"/>
    <col min="7942" max="7942" width="10.1681415929204" style="63" customWidth="1"/>
    <col min="7943" max="7943" width="7.66371681415929" style="63" customWidth="1"/>
    <col min="7944" max="8189" width="9.16814159292035" style="63" customWidth="1"/>
    <col min="8190" max="8190" width="25.1681415929204" style="63" customWidth="1"/>
    <col min="8191" max="8191" width="19.1681415929204" style="63" customWidth="1"/>
    <col min="8192" max="8192" width="58.6637168141593" style="63" customWidth="1"/>
    <col min="8193" max="8193" width="10" style="63" customWidth="1"/>
    <col min="8194" max="8194" width="9.66371681415929" style="63" customWidth="1"/>
    <col min="8195" max="8195" width="11.1681415929204" style="63" customWidth="1"/>
    <col min="8196" max="8196" width="10.6637168141593" style="63" customWidth="1"/>
    <col min="8197" max="8197" width="11.1681415929204" style="63" customWidth="1"/>
    <col min="8198" max="8198" width="10.1681415929204" style="63" customWidth="1"/>
    <col min="8199" max="8199" width="7.66371681415929" style="63" customWidth="1"/>
    <col min="8200" max="8445" width="9.16814159292035" style="63" customWidth="1"/>
    <col min="8446" max="8446" width="25.1681415929204" style="63" customWidth="1"/>
    <col min="8447" max="8447" width="19.1681415929204" style="63" customWidth="1"/>
    <col min="8448" max="8448" width="58.6637168141593" style="63" customWidth="1"/>
    <col min="8449" max="8449" width="10" style="63" customWidth="1"/>
    <col min="8450" max="8450" width="9.66371681415929" style="63" customWidth="1"/>
    <col min="8451" max="8451" width="11.1681415929204" style="63" customWidth="1"/>
    <col min="8452" max="8452" width="10.6637168141593" style="63" customWidth="1"/>
    <col min="8453" max="8453" width="11.1681415929204" style="63" customWidth="1"/>
    <col min="8454" max="8454" width="10.1681415929204" style="63" customWidth="1"/>
    <col min="8455" max="8455" width="7.66371681415929" style="63" customWidth="1"/>
    <col min="8456" max="8701" width="9.16814159292035" style="63" customWidth="1"/>
    <col min="8702" max="8702" width="25.1681415929204" style="63" customWidth="1"/>
    <col min="8703" max="8703" width="19.1681415929204" style="63" customWidth="1"/>
    <col min="8704" max="8704" width="58.6637168141593" style="63" customWidth="1"/>
    <col min="8705" max="8705" width="10" style="63" customWidth="1"/>
    <col min="8706" max="8706" width="9.66371681415929" style="63" customWidth="1"/>
    <col min="8707" max="8707" width="11.1681415929204" style="63" customWidth="1"/>
    <col min="8708" max="8708" width="10.6637168141593" style="63" customWidth="1"/>
    <col min="8709" max="8709" width="11.1681415929204" style="63" customWidth="1"/>
    <col min="8710" max="8710" width="10.1681415929204" style="63" customWidth="1"/>
    <col min="8711" max="8711" width="7.66371681415929" style="63" customWidth="1"/>
    <col min="8712" max="8957" width="9.16814159292035" style="63" customWidth="1"/>
    <col min="8958" max="8958" width="25.1681415929204" style="63" customWidth="1"/>
    <col min="8959" max="8959" width="19.1681415929204" style="63" customWidth="1"/>
    <col min="8960" max="8960" width="58.6637168141593" style="63" customWidth="1"/>
    <col min="8961" max="8961" width="10" style="63" customWidth="1"/>
    <col min="8962" max="8962" width="9.66371681415929" style="63" customWidth="1"/>
    <col min="8963" max="8963" width="11.1681415929204" style="63" customWidth="1"/>
    <col min="8964" max="8964" width="10.6637168141593" style="63" customWidth="1"/>
    <col min="8965" max="8965" width="11.1681415929204" style="63" customWidth="1"/>
    <col min="8966" max="8966" width="10.1681415929204" style="63" customWidth="1"/>
    <col min="8967" max="8967" width="7.66371681415929" style="63" customWidth="1"/>
    <col min="8968" max="9213" width="9.16814159292035" style="63" customWidth="1"/>
    <col min="9214" max="9214" width="25.1681415929204" style="63" customWidth="1"/>
    <col min="9215" max="9215" width="19.1681415929204" style="63" customWidth="1"/>
    <col min="9216" max="9216" width="58.6637168141593" style="63" customWidth="1"/>
    <col min="9217" max="9217" width="10" style="63" customWidth="1"/>
    <col min="9218" max="9218" width="9.66371681415929" style="63" customWidth="1"/>
    <col min="9219" max="9219" width="11.1681415929204" style="63" customWidth="1"/>
    <col min="9220" max="9220" width="10.6637168141593" style="63" customWidth="1"/>
    <col min="9221" max="9221" width="11.1681415929204" style="63" customWidth="1"/>
    <col min="9222" max="9222" width="10.1681415929204" style="63" customWidth="1"/>
    <col min="9223" max="9223" width="7.66371681415929" style="63" customWidth="1"/>
    <col min="9224" max="9469" width="9.16814159292035" style="63" customWidth="1"/>
    <col min="9470" max="9470" width="25.1681415929204" style="63" customWidth="1"/>
    <col min="9471" max="9471" width="19.1681415929204" style="63" customWidth="1"/>
    <col min="9472" max="9472" width="58.6637168141593" style="63" customWidth="1"/>
    <col min="9473" max="9473" width="10" style="63" customWidth="1"/>
    <col min="9474" max="9474" width="9.66371681415929" style="63" customWidth="1"/>
    <col min="9475" max="9475" width="11.1681415929204" style="63" customWidth="1"/>
    <col min="9476" max="9476" width="10.6637168141593" style="63" customWidth="1"/>
    <col min="9477" max="9477" width="11.1681415929204" style="63" customWidth="1"/>
    <col min="9478" max="9478" width="10.1681415929204" style="63" customWidth="1"/>
    <col min="9479" max="9479" width="7.66371681415929" style="63" customWidth="1"/>
    <col min="9480" max="9725" width="9.16814159292035" style="63" customWidth="1"/>
    <col min="9726" max="9726" width="25.1681415929204" style="63" customWidth="1"/>
    <col min="9727" max="9727" width="19.1681415929204" style="63" customWidth="1"/>
    <col min="9728" max="9728" width="58.6637168141593" style="63" customWidth="1"/>
    <col min="9729" max="9729" width="10" style="63" customWidth="1"/>
    <col min="9730" max="9730" width="9.66371681415929" style="63" customWidth="1"/>
    <col min="9731" max="9731" width="11.1681415929204" style="63" customWidth="1"/>
    <col min="9732" max="9732" width="10.6637168141593" style="63" customWidth="1"/>
    <col min="9733" max="9733" width="11.1681415929204" style="63" customWidth="1"/>
    <col min="9734" max="9734" width="10.1681415929204" style="63" customWidth="1"/>
    <col min="9735" max="9735" width="7.66371681415929" style="63" customWidth="1"/>
    <col min="9736" max="9981" width="9.16814159292035" style="63" customWidth="1"/>
    <col min="9982" max="9982" width="25.1681415929204" style="63" customWidth="1"/>
    <col min="9983" max="9983" width="19.1681415929204" style="63" customWidth="1"/>
    <col min="9984" max="9984" width="58.6637168141593" style="63" customWidth="1"/>
    <col min="9985" max="9985" width="10" style="63" customWidth="1"/>
    <col min="9986" max="9986" width="9.66371681415929" style="63" customWidth="1"/>
    <col min="9987" max="9987" width="11.1681415929204" style="63" customWidth="1"/>
    <col min="9988" max="9988" width="10.6637168141593" style="63" customWidth="1"/>
    <col min="9989" max="9989" width="11.1681415929204" style="63" customWidth="1"/>
    <col min="9990" max="9990" width="10.1681415929204" style="63" customWidth="1"/>
    <col min="9991" max="9991" width="7.66371681415929" style="63" customWidth="1"/>
    <col min="9992" max="10237" width="9.16814159292035" style="63" customWidth="1"/>
    <col min="10238" max="10238" width="25.1681415929204" style="63" customWidth="1"/>
    <col min="10239" max="10239" width="19.1681415929204" style="63" customWidth="1"/>
    <col min="10240" max="10240" width="58.6637168141593" style="63" customWidth="1"/>
    <col min="10241" max="10241" width="10" style="63" customWidth="1"/>
    <col min="10242" max="10242" width="9.66371681415929" style="63" customWidth="1"/>
    <col min="10243" max="10243" width="11.1681415929204" style="63" customWidth="1"/>
    <col min="10244" max="10244" width="10.6637168141593" style="63" customWidth="1"/>
    <col min="10245" max="10245" width="11.1681415929204" style="63" customWidth="1"/>
    <col min="10246" max="10246" width="10.1681415929204" style="63" customWidth="1"/>
    <col min="10247" max="10247" width="7.66371681415929" style="63" customWidth="1"/>
    <col min="10248" max="10493" width="9.16814159292035" style="63" customWidth="1"/>
    <col min="10494" max="10494" width="25.1681415929204" style="63" customWidth="1"/>
    <col min="10495" max="10495" width="19.1681415929204" style="63" customWidth="1"/>
    <col min="10496" max="10496" width="58.6637168141593" style="63" customWidth="1"/>
    <col min="10497" max="10497" width="10" style="63" customWidth="1"/>
    <col min="10498" max="10498" width="9.66371681415929" style="63" customWidth="1"/>
    <col min="10499" max="10499" width="11.1681415929204" style="63" customWidth="1"/>
    <col min="10500" max="10500" width="10.6637168141593" style="63" customWidth="1"/>
    <col min="10501" max="10501" width="11.1681415929204" style="63" customWidth="1"/>
    <col min="10502" max="10502" width="10.1681415929204" style="63" customWidth="1"/>
    <col min="10503" max="10503" width="7.66371681415929" style="63" customWidth="1"/>
    <col min="10504" max="10749" width="9.16814159292035" style="63" customWidth="1"/>
    <col min="10750" max="10750" width="25.1681415929204" style="63" customWidth="1"/>
    <col min="10751" max="10751" width="19.1681415929204" style="63" customWidth="1"/>
    <col min="10752" max="10752" width="58.6637168141593" style="63" customWidth="1"/>
    <col min="10753" max="10753" width="10" style="63" customWidth="1"/>
    <col min="10754" max="10754" width="9.66371681415929" style="63" customWidth="1"/>
    <col min="10755" max="10755" width="11.1681415929204" style="63" customWidth="1"/>
    <col min="10756" max="10756" width="10.6637168141593" style="63" customWidth="1"/>
    <col min="10757" max="10757" width="11.1681415929204" style="63" customWidth="1"/>
    <col min="10758" max="10758" width="10.1681415929204" style="63" customWidth="1"/>
    <col min="10759" max="10759" width="7.66371681415929" style="63" customWidth="1"/>
    <col min="10760" max="11005" width="9.16814159292035" style="63" customWidth="1"/>
    <col min="11006" max="11006" width="25.1681415929204" style="63" customWidth="1"/>
    <col min="11007" max="11007" width="19.1681415929204" style="63" customWidth="1"/>
    <col min="11008" max="11008" width="58.6637168141593" style="63" customWidth="1"/>
    <col min="11009" max="11009" width="10" style="63" customWidth="1"/>
    <col min="11010" max="11010" width="9.66371681415929" style="63" customWidth="1"/>
    <col min="11011" max="11011" width="11.1681415929204" style="63" customWidth="1"/>
    <col min="11012" max="11012" width="10.6637168141593" style="63" customWidth="1"/>
    <col min="11013" max="11013" width="11.1681415929204" style="63" customWidth="1"/>
    <col min="11014" max="11014" width="10.1681415929204" style="63" customWidth="1"/>
    <col min="11015" max="11015" width="7.66371681415929" style="63" customWidth="1"/>
    <col min="11016" max="11261" width="9.16814159292035" style="63" customWidth="1"/>
    <col min="11262" max="11262" width="25.1681415929204" style="63" customWidth="1"/>
    <col min="11263" max="11263" width="19.1681415929204" style="63" customWidth="1"/>
    <col min="11264" max="11264" width="58.6637168141593" style="63" customWidth="1"/>
    <col min="11265" max="11265" width="10" style="63" customWidth="1"/>
    <col min="11266" max="11266" width="9.66371681415929" style="63" customWidth="1"/>
    <col min="11267" max="11267" width="11.1681415929204" style="63" customWidth="1"/>
    <col min="11268" max="11268" width="10.6637168141593" style="63" customWidth="1"/>
    <col min="11269" max="11269" width="11.1681415929204" style="63" customWidth="1"/>
    <col min="11270" max="11270" width="10.1681415929204" style="63" customWidth="1"/>
    <col min="11271" max="11271" width="7.66371681415929" style="63" customWidth="1"/>
    <col min="11272" max="11517" width="9.16814159292035" style="63" customWidth="1"/>
    <col min="11518" max="11518" width="25.1681415929204" style="63" customWidth="1"/>
    <col min="11519" max="11519" width="19.1681415929204" style="63" customWidth="1"/>
    <col min="11520" max="11520" width="58.6637168141593" style="63" customWidth="1"/>
    <col min="11521" max="11521" width="10" style="63" customWidth="1"/>
    <col min="11522" max="11522" width="9.66371681415929" style="63" customWidth="1"/>
    <col min="11523" max="11523" width="11.1681415929204" style="63" customWidth="1"/>
    <col min="11524" max="11524" width="10.6637168141593" style="63" customWidth="1"/>
    <col min="11525" max="11525" width="11.1681415929204" style="63" customWidth="1"/>
    <col min="11526" max="11526" width="10.1681415929204" style="63" customWidth="1"/>
    <col min="11527" max="11527" width="7.66371681415929" style="63" customWidth="1"/>
    <col min="11528" max="11773" width="9.16814159292035" style="63" customWidth="1"/>
    <col min="11774" max="11774" width="25.1681415929204" style="63" customWidth="1"/>
    <col min="11775" max="11775" width="19.1681415929204" style="63" customWidth="1"/>
    <col min="11776" max="11776" width="58.6637168141593" style="63" customWidth="1"/>
    <col min="11777" max="11777" width="10" style="63" customWidth="1"/>
    <col min="11778" max="11778" width="9.66371681415929" style="63" customWidth="1"/>
    <col min="11779" max="11779" width="11.1681415929204" style="63" customWidth="1"/>
    <col min="11780" max="11780" width="10.6637168141593" style="63" customWidth="1"/>
    <col min="11781" max="11781" width="11.1681415929204" style="63" customWidth="1"/>
    <col min="11782" max="11782" width="10.1681415929204" style="63" customWidth="1"/>
    <col min="11783" max="11783" width="7.66371681415929" style="63" customWidth="1"/>
    <col min="11784" max="12029" width="9.16814159292035" style="63" customWidth="1"/>
    <col min="12030" max="12030" width="25.1681415929204" style="63" customWidth="1"/>
    <col min="12031" max="12031" width="19.1681415929204" style="63" customWidth="1"/>
    <col min="12032" max="12032" width="58.6637168141593" style="63" customWidth="1"/>
    <col min="12033" max="12033" width="10" style="63" customWidth="1"/>
    <col min="12034" max="12034" width="9.66371681415929" style="63" customWidth="1"/>
    <col min="12035" max="12035" width="11.1681415929204" style="63" customWidth="1"/>
    <col min="12036" max="12036" width="10.6637168141593" style="63" customWidth="1"/>
    <col min="12037" max="12037" width="11.1681415929204" style="63" customWidth="1"/>
    <col min="12038" max="12038" width="10.1681415929204" style="63" customWidth="1"/>
    <col min="12039" max="12039" width="7.66371681415929" style="63" customWidth="1"/>
    <col min="12040" max="12285" width="9.16814159292035" style="63" customWidth="1"/>
    <col min="12286" max="12286" width="25.1681415929204" style="63" customWidth="1"/>
    <col min="12287" max="12287" width="19.1681415929204" style="63" customWidth="1"/>
    <col min="12288" max="12288" width="58.6637168141593" style="63" customWidth="1"/>
    <col min="12289" max="12289" width="10" style="63" customWidth="1"/>
    <col min="12290" max="12290" width="9.66371681415929" style="63" customWidth="1"/>
    <col min="12291" max="12291" width="11.1681415929204" style="63" customWidth="1"/>
    <col min="12292" max="12292" width="10.6637168141593" style="63" customWidth="1"/>
    <col min="12293" max="12293" width="11.1681415929204" style="63" customWidth="1"/>
    <col min="12294" max="12294" width="10.1681415929204" style="63" customWidth="1"/>
    <col min="12295" max="12295" width="7.66371681415929" style="63" customWidth="1"/>
    <col min="12296" max="12541" width="9.16814159292035" style="63" customWidth="1"/>
    <col min="12542" max="12542" width="25.1681415929204" style="63" customWidth="1"/>
    <col min="12543" max="12543" width="19.1681415929204" style="63" customWidth="1"/>
    <col min="12544" max="12544" width="58.6637168141593" style="63" customWidth="1"/>
    <col min="12545" max="12545" width="10" style="63" customWidth="1"/>
    <col min="12546" max="12546" width="9.66371681415929" style="63" customWidth="1"/>
    <col min="12547" max="12547" width="11.1681415929204" style="63" customWidth="1"/>
    <col min="12548" max="12548" width="10.6637168141593" style="63" customWidth="1"/>
    <col min="12549" max="12549" width="11.1681415929204" style="63" customWidth="1"/>
    <col min="12550" max="12550" width="10.1681415929204" style="63" customWidth="1"/>
    <col min="12551" max="12551" width="7.66371681415929" style="63" customWidth="1"/>
    <col min="12552" max="12797" width="9.16814159292035" style="63" customWidth="1"/>
    <col min="12798" max="12798" width="25.1681415929204" style="63" customWidth="1"/>
    <col min="12799" max="12799" width="19.1681415929204" style="63" customWidth="1"/>
    <col min="12800" max="12800" width="58.6637168141593" style="63" customWidth="1"/>
    <col min="12801" max="12801" width="10" style="63" customWidth="1"/>
    <col min="12802" max="12802" width="9.66371681415929" style="63" customWidth="1"/>
    <col min="12803" max="12803" width="11.1681415929204" style="63" customWidth="1"/>
    <col min="12804" max="12804" width="10.6637168141593" style="63" customWidth="1"/>
    <col min="12805" max="12805" width="11.1681415929204" style="63" customWidth="1"/>
    <col min="12806" max="12806" width="10.1681415929204" style="63" customWidth="1"/>
    <col min="12807" max="12807" width="7.66371681415929" style="63" customWidth="1"/>
    <col min="12808" max="13053" width="9.16814159292035" style="63" customWidth="1"/>
    <col min="13054" max="13054" width="25.1681415929204" style="63" customWidth="1"/>
    <col min="13055" max="13055" width="19.1681415929204" style="63" customWidth="1"/>
    <col min="13056" max="13056" width="58.6637168141593" style="63" customWidth="1"/>
    <col min="13057" max="13057" width="10" style="63" customWidth="1"/>
    <col min="13058" max="13058" width="9.66371681415929" style="63" customWidth="1"/>
    <col min="13059" max="13059" width="11.1681415929204" style="63" customWidth="1"/>
    <col min="13060" max="13060" width="10.6637168141593" style="63" customWidth="1"/>
    <col min="13061" max="13061" width="11.1681415929204" style="63" customWidth="1"/>
    <col min="13062" max="13062" width="10.1681415929204" style="63" customWidth="1"/>
    <col min="13063" max="13063" width="7.66371681415929" style="63" customWidth="1"/>
    <col min="13064" max="13309" width="9.16814159292035" style="63" customWidth="1"/>
    <col min="13310" max="13310" width="25.1681415929204" style="63" customWidth="1"/>
    <col min="13311" max="13311" width="19.1681415929204" style="63" customWidth="1"/>
    <col min="13312" max="13312" width="58.6637168141593" style="63" customWidth="1"/>
    <col min="13313" max="13313" width="10" style="63" customWidth="1"/>
    <col min="13314" max="13314" width="9.66371681415929" style="63" customWidth="1"/>
    <col min="13315" max="13315" width="11.1681415929204" style="63" customWidth="1"/>
    <col min="13316" max="13316" width="10.6637168141593" style="63" customWidth="1"/>
    <col min="13317" max="13317" width="11.1681415929204" style="63" customWidth="1"/>
    <col min="13318" max="13318" width="10.1681415929204" style="63" customWidth="1"/>
    <col min="13319" max="13319" width="7.66371681415929" style="63" customWidth="1"/>
    <col min="13320" max="13565" width="9.16814159292035" style="63" customWidth="1"/>
    <col min="13566" max="13566" width="25.1681415929204" style="63" customWidth="1"/>
    <col min="13567" max="13567" width="19.1681415929204" style="63" customWidth="1"/>
    <col min="13568" max="13568" width="58.6637168141593" style="63" customWidth="1"/>
    <col min="13569" max="13569" width="10" style="63" customWidth="1"/>
    <col min="13570" max="13570" width="9.66371681415929" style="63" customWidth="1"/>
    <col min="13571" max="13571" width="11.1681415929204" style="63" customWidth="1"/>
    <col min="13572" max="13572" width="10.6637168141593" style="63" customWidth="1"/>
    <col min="13573" max="13573" width="11.1681415929204" style="63" customWidth="1"/>
    <col min="13574" max="13574" width="10.1681415929204" style="63" customWidth="1"/>
    <col min="13575" max="13575" width="7.66371681415929" style="63" customWidth="1"/>
    <col min="13576" max="13821" width="9.16814159292035" style="63" customWidth="1"/>
    <col min="13822" max="13822" width="25.1681415929204" style="63" customWidth="1"/>
    <col min="13823" max="13823" width="19.1681415929204" style="63" customWidth="1"/>
    <col min="13824" max="13824" width="58.6637168141593" style="63" customWidth="1"/>
    <col min="13825" max="13825" width="10" style="63" customWidth="1"/>
    <col min="13826" max="13826" width="9.66371681415929" style="63" customWidth="1"/>
    <col min="13827" max="13827" width="11.1681415929204" style="63" customWidth="1"/>
    <col min="13828" max="13828" width="10.6637168141593" style="63" customWidth="1"/>
    <col min="13829" max="13829" width="11.1681415929204" style="63" customWidth="1"/>
    <col min="13830" max="13830" width="10.1681415929204" style="63" customWidth="1"/>
    <col min="13831" max="13831" width="7.66371681415929" style="63" customWidth="1"/>
    <col min="13832" max="14077" width="9.16814159292035" style="63" customWidth="1"/>
    <col min="14078" max="14078" width="25.1681415929204" style="63" customWidth="1"/>
    <col min="14079" max="14079" width="19.1681415929204" style="63" customWidth="1"/>
    <col min="14080" max="14080" width="58.6637168141593" style="63" customWidth="1"/>
    <col min="14081" max="14081" width="10" style="63" customWidth="1"/>
    <col min="14082" max="14082" width="9.66371681415929" style="63" customWidth="1"/>
    <col min="14083" max="14083" width="11.1681415929204" style="63" customWidth="1"/>
    <col min="14084" max="14084" width="10.6637168141593" style="63" customWidth="1"/>
    <col min="14085" max="14085" width="11.1681415929204" style="63" customWidth="1"/>
    <col min="14086" max="14086" width="10.1681415929204" style="63" customWidth="1"/>
    <col min="14087" max="14087" width="7.66371681415929" style="63" customWidth="1"/>
    <col min="14088" max="14333" width="9.16814159292035" style="63" customWidth="1"/>
    <col min="14334" max="14334" width="25.1681415929204" style="63" customWidth="1"/>
    <col min="14335" max="14335" width="19.1681415929204" style="63" customWidth="1"/>
    <col min="14336" max="14336" width="58.6637168141593" style="63" customWidth="1"/>
    <col min="14337" max="14337" width="10" style="63" customWidth="1"/>
    <col min="14338" max="14338" width="9.66371681415929" style="63" customWidth="1"/>
    <col min="14339" max="14339" width="11.1681415929204" style="63" customWidth="1"/>
    <col min="14340" max="14340" width="10.6637168141593" style="63" customWidth="1"/>
    <col min="14341" max="14341" width="11.1681415929204" style="63" customWidth="1"/>
    <col min="14342" max="14342" width="10.1681415929204" style="63" customWidth="1"/>
    <col min="14343" max="14343" width="7.66371681415929" style="63" customWidth="1"/>
    <col min="14344" max="14589" width="9.16814159292035" style="63" customWidth="1"/>
    <col min="14590" max="14590" width="25.1681415929204" style="63" customWidth="1"/>
    <col min="14591" max="14591" width="19.1681415929204" style="63" customWidth="1"/>
    <col min="14592" max="14592" width="58.6637168141593" style="63" customWidth="1"/>
    <col min="14593" max="14593" width="10" style="63" customWidth="1"/>
    <col min="14594" max="14594" width="9.66371681415929" style="63" customWidth="1"/>
    <col min="14595" max="14595" width="11.1681415929204" style="63" customWidth="1"/>
    <col min="14596" max="14596" width="10.6637168141593" style="63" customWidth="1"/>
    <col min="14597" max="14597" width="11.1681415929204" style="63" customWidth="1"/>
    <col min="14598" max="14598" width="10.1681415929204" style="63" customWidth="1"/>
    <col min="14599" max="14599" width="7.66371681415929" style="63" customWidth="1"/>
    <col min="14600" max="14845" width="9.16814159292035" style="63" customWidth="1"/>
    <col min="14846" max="14846" width="25.1681415929204" style="63" customWidth="1"/>
    <col min="14847" max="14847" width="19.1681415929204" style="63" customWidth="1"/>
    <col min="14848" max="14848" width="58.6637168141593" style="63" customWidth="1"/>
    <col min="14849" max="14849" width="10" style="63" customWidth="1"/>
    <col min="14850" max="14850" width="9.66371681415929" style="63" customWidth="1"/>
    <col min="14851" max="14851" width="11.1681415929204" style="63" customWidth="1"/>
    <col min="14852" max="14852" width="10.6637168141593" style="63" customWidth="1"/>
    <col min="14853" max="14853" width="11.1681415929204" style="63" customWidth="1"/>
    <col min="14854" max="14854" width="10.1681415929204" style="63" customWidth="1"/>
    <col min="14855" max="14855" width="7.66371681415929" style="63" customWidth="1"/>
    <col min="14856" max="15101" width="9.16814159292035" style="63" customWidth="1"/>
    <col min="15102" max="15102" width="25.1681415929204" style="63" customWidth="1"/>
    <col min="15103" max="15103" width="19.1681415929204" style="63" customWidth="1"/>
    <col min="15104" max="15104" width="58.6637168141593" style="63" customWidth="1"/>
    <col min="15105" max="15105" width="10" style="63" customWidth="1"/>
    <col min="15106" max="15106" width="9.66371681415929" style="63" customWidth="1"/>
    <col min="15107" max="15107" width="11.1681415929204" style="63" customWidth="1"/>
    <col min="15108" max="15108" width="10.6637168141593" style="63" customWidth="1"/>
    <col min="15109" max="15109" width="11.1681415929204" style="63" customWidth="1"/>
    <col min="15110" max="15110" width="10.1681415929204" style="63" customWidth="1"/>
    <col min="15111" max="15111" width="7.66371681415929" style="63" customWidth="1"/>
    <col min="15112" max="15357" width="9.16814159292035" style="63" customWidth="1"/>
    <col min="15358" max="15358" width="25.1681415929204" style="63" customWidth="1"/>
    <col min="15359" max="15359" width="19.1681415929204" style="63" customWidth="1"/>
    <col min="15360" max="15360" width="58.6637168141593" style="63" customWidth="1"/>
    <col min="15361" max="15361" width="10" style="63" customWidth="1"/>
    <col min="15362" max="15362" width="9.66371681415929" style="63" customWidth="1"/>
    <col min="15363" max="15363" width="11.1681415929204" style="63" customWidth="1"/>
    <col min="15364" max="15364" width="10.6637168141593" style="63" customWidth="1"/>
    <col min="15365" max="15365" width="11.1681415929204" style="63" customWidth="1"/>
    <col min="15366" max="15366" width="10.1681415929204" style="63" customWidth="1"/>
    <col min="15367" max="15367" width="7.66371681415929" style="63" customWidth="1"/>
    <col min="15368" max="15613" width="9.16814159292035" style="63" customWidth="1"/>
    <col min="15614" max="15614" width="25.1681415929204" style="63" customWidth="1"/>
    <col min="15615" max="15615" width="19.1681415929204" style="63" customWidth="1"/>
    <col min="15616" max="15616" width="58.6637168141593" style="63" customWidth="1"/>
    <col min="15617" max="15617" width="10" style="63" customWidth="1"/>
    <col min="15618" max="15618" width="9.66371681415929" style="63" customWidth="1"/>
    <col min="15619" max="15619" width="11.1681415929204" style="63" customWidth="1"/>
    <col min="15620" max="15620" width="10.6637168141593" style="63" customWidth="1"/>
    <col min="15621" max="15621" width="11.1681415929204" style="63" customWidth="1"/>
    <col min="15622" max="15622" width="10.1681415929204" style="63" customWidth="1"/>
    <col min="15623" max="15623" width="7.66371681415929" style="63" customWidth="1"/>
    <col min="15624" max="15869" width="9.16814159292035" style="63" customWidth="1"/>
    <col min="15870" max="15870" width="25.1681415929204" style="63" customWidth="1"/>
    <col min="15871" max="15871" width="19.1681415929204" style="63" customWidth="1"/>
    <col min="15872" max="15872" width="58.6637168141593" style="63" customWidth="1"/>
    <col min="15873" max="15873" width="10" style="63" customWidth="1"/>
    <col min="15874" max="15874" width="9.66371681415929" style="63" customWidth="1"/>
    <col min="15875" max="15875" width="11.1681415929204" style="63" customWidth="1"/>
    <col min="15876" max="15876" width="10.6637168141593" style="63" customWidth="1"/>
    <col min="15877" max="15877" width="11.1681415929204" style="63" customWidth="1"/>
    <col min="15878" max="15878" width="10.1681415929204" style="63" customWidth="1"/>
    <col min="15879" max="15879" width="7.66371681415929" style="63" customWidth="1"/>
    <col min="15880" max="16125" width="9.16814159292035" style="63" customWidth="1"/>
    <col min="16126" max="16126" width="25.1681415929204" style="63" customWidth="1"/>
    <col min="16127" max="16127" width="19.1681415929204" style="63" customWidth="1"/>
    <col min="16128" max="16128" width="58.6637168141593" style="63" customWidth="1"/>
    <col min="16129" max="16129" width="10" style="63" customWidth="1"/>
    <col min="16130" max="16130" width="9.66371681415929" style="63" customWidth="1"/>
    <col min="16131" max="16131" width="11.1681415929204" style="63" customWidth="1"/>
    <col min="16132" max="16132" width="10.6637168141593" style="63" customWidth="1"/>
    <col min="16133" max="16133" width="11.1681415929204" style="63" customWidth="1"/>
    <col min="16134" max="16134" width="10.1681415929204" style="63" customWidth="1"/>
    <col min="16135" max="16135" width="7.66371681415929" style="63" customWidth="1"/>
    <col min="16136" max="16384" width="9.16814159292035" style="63" customWidth="1"/>
  </cols>
  <sheetData>
    <row r="1" spans="1:253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89" customHeight="1" spans="1:253">
      <c r="A2" s="219" t="s">
        <v>1044</v>
      </c>
      <c r="B2" s="72" t="s">
        <v>36</v>
      </c>
      <c r="C2" s="219" t="s">
        <v>1045</v>
      </c>
      <c r="D2" s="252" t="s">
        <v>1046</v>
      </c>
      <c r="E2" s="93" t="s">
        <v>444</v>
      </c>
      <c r="F2" s="93">
        <v>1</v>
      </c>
      <c r="G2" s="85" t="s">
        <v>69</v>
      </c>
      <c r="H2" s="72">
        <v>81926</v>
      </c>
      <c r="I2" s="240"/>
      <c r="J2" s="72"/>
      <c r="K2" s="72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</row>
    <row r="3" ht="89" customHeight="1" spans="1:253">
      <c r="A3" s="219" t="s">
        <v>1044</v>
      </c>
      <c r="B3" s="72" t="s">
        <v>36</v>
      </c>
      <c r="C3" s="219" t="s">
        <v>1047</v>
      </c>
      <c r="D3" s="253" t="s">
        <v>1048</v>
      </c>
      <c r="E3" s="93" t="s">
        <v>444</v>
      </c>
      <c r="F3" s="93">
        <v>1</v>
      </c>
      <c r="G3" s="85" t="s">
        <v>69</v>
      </c>
      <c r="H3" s="72">
        <v>47058</v>
      </c>
      <c r="I3" s="240"/>
      <c r="J3" s="72"/>
      <c r="K3" s="72"/>
    </row>
    <row r="4" ht="60" customHeight="1" spans="1:253">
      <c r="A4" s="219" t="s">
        <v>1044</v>
      </c>
      <c r="B4" s="72" t="s">
        <v>36</v>
      </c>
      <c r="C4" s="219" t="s">
        <v>1049</v>
      </c>
      <c r="D4" s="254" t="s">
        <v>1050</v>
      </c>
      <c r="E4" s="93" t="s">
        <v>444</v>
      </c>
      <c r="F4" s="93">
        <v>1</v>
      </c>
      <c r="G4" s="85" t="s">
        <v>69</v>
      </c>
      <c r="H4" s="72">
        <v>28566</v>
      </c>
      <c r="I4" s="240"/>
      <c r="J4" s="72"/>
      <c r="K4" s="255" t="s">
        <v>1051</v>
      </c>
    </row>
    <row r="5" ht="89" customHeight="1" spans="1:253">
      <c r="A5" s="219" t="s">
        <v>1044</v>
      </c>
      <c r="B5" s="72" t="s">
        <v>36</v>
      </c>
      <c r="C5" s="219" t="s">
        <v>1052</v>
      </c>
      <c r="D5" s="253" t="s">
        <v>1053</v>
      </c>
      <c r="E5" s="93" t="s">
        <v>444</v>
      </c>
      <c r="F5" s="93">
        <v>1</v>
      </c>
      <c r="G5" s="85" t="s">
        <v>69</v>
      </c>
      <c r="H5" s="72">
        <v>81926</v>
      </c>
      <c r="I5" s="240"/>
      <c r="J5" s="72"/>
      <c r="K5" s="72"/>
    </row>
    <row r="6" ht="89" customHeight="1" spans="1:253">
      <c r="A6" s="219" t="s">
        <v>1044</v>
      </c>
      <c r="B6" s="72" t="s">
        <v>36</v>
      </c>
      <c r="C6" s="219" t="s">
        <v>1054</v>
      </c>
      <c r="D6" s="253" t="s">
        <v>1055</v>
      </c>
      <c r="E6" s="93" t="s">
        <v>444</v>
      </c>
      <c r="F6" s="93">
        <v>1</v>
      </c>
      <c r="G6" s="85" t="s">
        <v>69</v>
      </c>
      <c r="H6" s="72">
        <v>144118</v>
      </c>
      <c r="I6" s="240"/>
      <c r="J6" s="72"/>
      <c r="K6" s="72"/>
    </row>
    <row r="7" ht="89" customHeight="1" spans="1:253">
      <c r="A7" s="219" t="s">
        <v>1044</v>
      </c>
      <c r="B7" s="72" t="s">
        <v>36</v>
      </c>
      <c r="C7" s="219" t="s">
        <v>1056</v>
      </c>
      <c r="D7" s="253" t="s">
        <v>1057</v>
      </c>
      <c r="E7" s="93" t="s">
        <v>444</v>
      </c>
      <c r="F7" s="93">
        <v>1</v>
      </c>
      <c r="G7" s="85" t="s">
        <v>69</v>
      </c>
      <c r="H7" s="72">
        <v>58075</v>
      </c>
      <c r="I7" s="240"/>
      <c r="J7" s="72"/>
      <c r="K7" s="72"/>
    </row>
    <row r="8" ht="89" customHeight="1" spans="1:253">
      <c r="A8" s="219" t="s">
        <v>1044</v>
      </c>
      <c r="B8" s="72" t="s">
        <v>36</v>
      </c>
      <c r="C8" s="219" t="s">
        <v>1058</v>
      </c>
      <c r="D8" s="253" t="s">
        <v>1059</v>
      </c>
      <c r="E8" s="93" t="s">
        <v>444</v>
      </c>
      <c r="F8" s="93">
        <v>1</v>
      </c>
      <c r="G8" s="85" t="s">
        <v>597</v>
      </c>
      <c r="H8" s="72">
        <v>120221</v>
      </c>
      <c r="I8" s="240"/>
      <c r="J8" s="72"/>
      <c r="K8" s="114"/>
    </row>
    <row r="9" ht="60" customHeight="1" spans="1:253">
      <c r="A9" s="219" t="s">
        <v>1060</v>
      </c>
      <c r="B9" s="72" t="s">
        <v>37</v>
      </c>
      <c r="C9" s="219" t="s">
        <v>1061</v>
      </c>
      <c r="D9" s="252" t="s">
        <v>1062</v>
      </c>
      <c r="E9" s="93" t="s">
        <v>444</v>
      </c>
      <c r="F9" s="93">
        <v>1</v>
      </c>
      <c r="G9" s="85" t="s">
        <v>69</v>
      </c>
      <c r="H9" s="72">
        <v>49174</v>
      </c>
      <c r="I9" s="240"/>
      <c r="J9" s="72"/>
      <c r="K9" s="72"/>
    </row>
    <row r="10" ht="60" customHeight="1" spans="1:253">
      <c r="A10" s="219" t="s">
        <v>1060</v>
      </c>
      <c r="B10" s="72" t="s">
        <v>37</v>
      </c>
      <c r="C10" s="219" t="s">
        <v>1063</v>
      </c>
      <c r="D10" s="253" t="s">
        <v>1064</v>
      </c>
      <c r="E10" s="93" t="s">
        <v>444</v>
      </c>
      <c r="F10" s="93">
        <v>1</v>
      </c>
      <c r="G10" s="85" t="s">
        <v>69</v>
      </c>
      <c r="H10" s="72">
        <v>27048</v>
      </c>
      <c r="I10" s="240"/>
      <c r="J10" s="72"/>
      <c r="K10" s="72"/>
    </row>
    <row r="11" ht="60" customHeight="1" spans="1:253">
      <c r="A11" s="219" t="s">
        <v>1060</v>
      </c>
      <c r="B11" s="72" t="s">
        <v>37</v>
      </c>
      <c r="C11" s="219" t="s">
        <v>1065</v>
      </c>
      <c r="D11" s="253" t="s">
        <v>1066</v>
      </c>
      <c r="E11" s="93" t="s">
        <v>444</v>
      </c>
      <c r="F11" s="93">
        <v>1</v>
      </c>
      <c r="G11" s="85" t="s">
        <v>69</v>
      </c>
      <c r="H11" s="72">
        <v>20654</v>
      </c>
      <c r="I11" s="240"/>
      <c r="J11" s="72"/>
      <c r="K11" s="256" t="s">
        <v>1051</v>
      </c>
    </row>
    <row r="12" ht="15" customHeight="1" spans="1:253">
      <c r="A12" s="219" t="s">
        <v>1067</v>
      </c>
      <c r="B12" s="72" t="s">
        <v>22</v>
      </c>
      <c r="C12" s="85" t="s">
        <v>1068</v>
      </c>
      <c r="D12" s="257" t="s">
        <v>1069</v>
      </c>
      <c r="E12" s="74" t="s">
        <v>444</v>
      </c>
      <c r="F12" s="74">
        <v>0</v>
      </c>
      <c r="G12" s="85" t="s">
        <v>69</v>
      </c>
      <c r="H12" s="72">
        <v>3634</v>
      </c>
      <c r="I12" s="240"/>
      <c r="J12" s="74"/>
      <c r="K12" s="96"/>
      <c r="L12" s="258"/>
    </row>
    <row r="13" ht="15" customHeight="1" spans="1:253">
      <c r="A13" s="219" t="s">
        <v>1067</v>
      </c>
      <c r="B13" s="72" t="s">
        <v>22</v>
      </c>
      <c r="C13" s="85" t="s">
        <v>1070</v>
      </c>
      <c r="D13" s="257" t="s">
        <v>1071</v>
      </c>
      <c r="E13" s="74" t="s">
        <v>444</v>
      </c>
      <c r="F13" s="74">
        <v>0</v>
      </c>
      <c r="G13" s="85" t="s">
        <v>69</v>
      </c>
      <c r="H13" s="72">
        <v>4830</v>
      </c>
      <c r="I13" s="240"/>
      <c r="J13" s="74"/>
      <c r="K13" s="96"/>
      <c r="L13" s="258"/>
    </row>
    <row r="14" ht="15" customHeight="1" spans="1:253">
      <c r="A14" s="219" t="s">
        <v>1067</v>
      </c>
      <c r="B14" s="72" t="s">
        <v>22</v>
      </c>
      <c r="C14" s="85" t="s">
        <v>1072</v>
      </c>
      <c r="D14" s="257" t="s">
        <v>1073</v>
      </c>
      <c r="E14" s="74" t="s">
        <v>444</v>
      </c>
      <c r="F14" s="74">
        <v>0</v>
      </c>
      <c r="G14" s="85" t="s">
        <v>69</v>
      </c>
      <c r="H14" s="72">
        <v>3772</v>
      </c>
      <c r="I14" s="240"/>
      <c r="J14" s="74"/>
      <c r="K14" s="96"/>
      <c r="L14" s="258"/>
    </row>
    <row r="15" ht="15" customHeight="1" spans="1:253">
      <c r="A15" s="219" t="s">
        <v>1067</v>
      </c>
      <c r="B15" s="72" t="s">
        <v>22</v>
      </c>
      <c r="C15" s="219" t="s">
        <v>1074</v>
      </c>
      <c r="D15" s="259" t="s">
        <v>1075</v>
      </c>
      <c r="E15" s="93" t="s">
        <v>444</v>
      </c>
      <c r="F15" s="93">
        <v>0</v>
      </c>
      <c r="G15" s="85" t="s">
        <v>65</v>
      </c>
      <c r="H15" s="72">
        <v>529</v>
      </c>
      <c r="I15" s="240"/>
      <c r="J15" s="72"/>
      <c r="K15" s="72"/>
    </row>
    <row r="16" ht="30" customHeight="1" spans="1:253">
      <c r="A16" s="219" t="s">
        <v>1067</v>
      </c>
      <c r="B16" s="72" t="s">
        <v>22</v>
      </c>
      <c r="C16" s="219" t="s">
        <v>1076</v>
      </c>
      <c r="D16" s="259" t="s">
        <v>1077</v>
      </c>
      <c r="E16" s="72" t="s">
        <v>284</v>
      </c>
      <c r="F16" s="93">
        <v>6</v>
      </c>
      <c r="G16" s="172" t="s">
        <v>69</v>
      </c>
      <c r="H16" s="205">
        <v>23874</v>
      </c>
      <c r="I16" s="100"/>
      <c r="J16" s="72"/>
      <c r="K16" s="114"/>
    </row>
    <row r="17" ht="45" customHeight="1" spans="1:11">
      <c r="A17" s="219" t="s">
        <v>1067</v>
      </c>
      <c r="B17" s="72" t="s">
        <v>22</v>
      </c>
      <c r="C17" s="219" t="s">
        <v>1078</v>
      </c>
      <c r="D17" s="259" t="s">
        <v>1079</v>
      </c>
      <c r="E17" s="93" t="s">
        <v>444</v>
      </c>
      <c r="F17" s="93">
        <v>0</v>
      </c>
      <c r="G17" s="85" t="s">
        <v>65</v>
      </c>
      <c r="H17" s="72">
        <v>529</v>
      </c>
      <c r="I17" s="240"/>
      <c r="J17" s="72"/>
      <c r="K17" s="72"/>
    </row>
    <row r="18" ht="44" customHeight="1" spans="1:11">
      <c r="A18" s="219" t="s">
        <v>1080</v>
      </c>
      <c r="B18" s="72" t="s">
        <v>49</v>
      </c>
      <c r="C18" s="219" t="s">
        <v>1081</v>
      </c>
      <c r="D18" s="260" t="s">
        <v>1082</v>
      </c>
      <c r="E18" s="93" t="s">
        <v>132</v>
      </c>
      <c r="F18" s="93">
        <v>0</v>
      </c>
      <c r="G18" s="85" t="s">
        <v>65</v>
      </c>
      <c r="H18" s="72">
        <v>728</v>
      </c>
      <c r="I18" s="240"/>
      <c r="J18" s="72"/>
      <c r="K18" s="238"/>
    </row>
    <row r="19" ht="44" customHeight="1" spans="1:11">
      <c r="A19" s="219" t="s">
        <v>1080</v>
      </c>
      <c r="B19" s="72" t="s">
        <v>49</v>
      </c>
      <c r="C19" s="219" t="s">
        <v>1083</v>
      </c>
      <c r="D19" s="260" t="s">
        <v>1084</v>
      </c>
      <c r="E19" s="93" t="s">
        <v>132</v>
      </c>
      <c r="F19" s="93">
        <v>0</v>
      </c>
      <c r="G19" s="85" t="s">
        <v>65</v>
      </c>
      <c r="H19" s="72">
        <v>1134</v>
      </c>
      <c r="I19" s="240"/>
      <c r="J19" s="72"/>
      <c r="K19" s="238"/>
    </row>
    <row r="20" ht="59" customHeight="1" spans="1:11">
      <c r="A20" s="219" t="s">
        <v>1080</v>
      </c>
      <c r="B20" s="72" t="s">
        <v>49</v>
      </c>
      <c r="C20" s="219" t="s">
        <v>1085</v>
      </c>
      <c r="D20" s="260" t="s">
        <v>1086</v>
      </c>
      <c r="E20" s="93" t="s">
        <v>132</v>
      </c>
      <c r="F20" s="93">
        <v>0</v>
      </c>
      <c r="G20" s="85" t="s">
        <v>65</v>
      </c>
      <c r="H20" s="72">
        <v>490</v>
      </c>
      <c r="I20" s="240"/>
      <c r="J20" s="72"/>
      <c r="K20" s="238"/>
    </row>
    <row r="21" ht="59" customHeight="1" spans="1:11">
      <c r="A21" s="219" t="s">
        <v>1080</v>
      </c>
      <c r="B21" s="72" t="s">
        <v>49</v>
      </c>
      <c r="C21" s="219" t="s">
        <v>1087</v>
      </c>
      <c r="D21" s="260" t="s">
        <v>1088</v>
      </c>
      <c r="E21" s="93" t="s">
        <v>132</v>
      </c>
      <c r="F21" s="93">
        <v>0</v>
      </c>
      <c r="G21" s="85" t="s">
        <v>65</v>
      </c>
      <c r="H21" s="72">
        <v>1358</v>
      </c>
      <c r="I21" s="240"/>
      <c r="J21" s="72"/>
      <c r="K21" s="238"/>
    </row>
    <row r="22" ht="59" customHeight="1" spans="1:11">
      <c r="A22" s="219" t="s">
        <v>1080</v>
      </c>
      <c r="B22" s="72" t="s">
        <v>49</v>
      </c>
      <c r="C22" s="219" t="s">
        <v>1089</v>
      </c>
      <c r="D22" s="260" t="s">
        <v>1090</v>
      </c>
      <c r="E22" s="93" t="s">
        <v>132</v>
      </c>
      <c r="F22" s="93">
        <v>0</v>
      </c>
      <c r="G22" s="85" t="s">
        <v>65</v>
      </c>
      <c r="H22" s="72">
        <v>2100</v>
      </c>
      <c r="I22" s="240"/>
      <c r="J22" s="72"/>
      <c r="K22" s="238"/>
    </row>
    <row r="23" ht="44" customHeight="1" spans="1:11">
      <c r="A23" s="219" t="s">
        <v>1091</v>
      </c>
      <c r="B23" s="72" t="s">
        <v>49</v>
      </c>
      <c r="C23" s="219" t="s">
        <v>1092</v>
      </c>
      <c r="D23" s="260" t="s">
        <v>1093</v>
      </c>
      <c r="E23" s="93" t="s">
        <v>132</v>
      </c>
      <c r="F23" s="93">
        <v>0</v>
      </c>
      <c r="G23" s="85" t="s">
        <v>65</v>
      </c>
      <c r="H23" s="72">
        <v>462</v>
      </c>
      <c r="I23" s="240"/>
      <c r="J23" s="72"/>
      <c r="K23" s="72"/>
    </row>
    <row r="24" ht="44" customHeight="1" spans="1:11">
      <c r="A24" s="219" t="s">
        <v>1091</v>
      </c>
      <c r="B24" s="72" t="s">
        <v>49</v>
      </c>
      <c r="C24" s="219" t="s">
        <v>1094</v>
      </c>
      <c r="D24" s="260" t="s">
        <v>1095</v>
      </c>
      <c r="E24" s="93" t="s">
        <v>132</v>
      </c>
      <c r="F24" s="93">
        <v>0</v>
      </c>
      <c r="G24" s="85" t="s">
        <v>65</v>
      </c>
      <c r="H24" s="72">
        <v>728</v>
      </c>
      <c r="I24" s="240"/>
      <c r="J24" s="72"/>
      <c r="K24" s="238"/>
    </row>
    <row r="25" ht="44" customHeight="1" spans="1:11">
      <c r="A25" s="219" t="s">
        <v>1091</v>
      </c>
      <c r="B25" s="72" t="s">
        <v>49</v>
      </c>
      <c r="C25" s="219" t="s">
        <v>1096</v>
      </c>
      <c r="D25" s="260" t="s">
        <v>1097</v>
      </c>
      <c r="E25" s="93" t="s">
        <v>132</v>
      </c>
      <c r="F25" s="93">
        <v>0</v>
      </c>
      <c r="G25" s="85" t="s">
        <v>65</v>
      </c>
      <c r="H25" s="72">
        <v>336</v>
      </c>
      <c r="I25" s="240"/>
      <c r="J25" s="72"/>
      <c r="K25" s="238"/>
    </row>
    <row r="26" ht="44" customHeight="1" spans="1:11">
      <c r="A26" s="219" t="s">
        <v>1091</v>
      </c>
      <c r="B26" s="72" t="s">
        <v>49</v>
      </c>
      <c r="C26" s="219" t="s">
        <v>1098</v>
      </c>
      <c r="D26" s="260" t="s">
        <v>1099</v>
      </c>
      <c r="E26" s="93" t="s">
        <v>132</v>
      </c>
      <c r="F26" s="93">
        <v>0</v>
      </c>
      <c r="G26" s="85" t="s">
        <v>65</v>
      </c>
      <c r="H26" s="72">
        <v>910</v>
      </c>
      <c r="I26" s="240"/>
      <c r="J26" s="72"/>
      <c r="K26" s="238"/>
    </row>
    <row r="27" ht="44" customHeight="1" spans="1:11">
      <c r="A27" s="219" t="s">
        <v>1091</v>
      </c>
      <c r="B27" s="72" t="s">
        <v>49</v>
      </c>
      <c r="C27" s="219" t="s">
        <v>1100</v>
      </c>
      <c r="D27" s="260" t="s">
        <v>1101</v>
      </c>
      <c r="E27" s="93" t="s">
        <v>132</v>
      </c>
      <c r="F27" s="93">
        <v>0</v>
      </c>
      <c r="G27" s="85" t="s">
        <v>65</v>
      </c>
      <c r="H27" s="72">
        <v>1428</v>
      </c>
      <c r="I27" s="240"/>
      <c r="J27" s="72"/>
      <c r="K27" s="238"/>
    </row>
    <row r="28" ht="59" customHeight="1" spans="1:11">
      <c r="A28" s="219" t="s">
        <v>1091</v>
      </c>
      <c r="B28" s="72" t="s">
        <v>49</v>
      </c>
      <c r="C28" s="125" t="s">
        <v>1102</v>
      </c>
      <c r="D28" s="260" t="s">
        <v>1103</v>
      </c>
      <c r="E28" s="72" t="s">
        <v>132</v>
      </c>
      <c r="F28" s="93">
        <v>1</v>
      </c>
      <c r="G28" s="172" t="s">
        <v>65</v>
      </c>
      <c r="H28" s="72">
        <v>28</v>
      </c>
      <c r="I28" s="240"/>
      <c r="J28" s="114"/>
      <c r="K28" s="72"/>
    </row>
    <row r="29" ht="59" customHeight="1" spans="1:11">
      <c r="A29" s="219" t="s">
        <v>1080</v>
      </c>
      <c r="B29" s="72" t="s">
        <v>49</v>
      </c>
      <c r="C29" s="125" t="s">
        <v>1104</v>
      </c>
      <c r="D29" s="260" t="s">
        <v>1105</v>
      </c>
      <c r="E29" s="72" t="s">
        <v>132</v>
      </c>
      <c r="F29" s="93">
        <v>1</v>
      </c>
      <c r="G29" s="172" t="s">
        <v>65</v>
      </c>
      <c r="H29" s="72">
        <v>41</v>
      </c>
      <c r="I29" s="240"/>
      <c r="J29" s="114"/>
      <c r="K29" s="72"/>
    </row>
    <row r="30" ht="44" customHeight="1" spans="1:11">
      <c r="A30" s="172" t="s">
        <v>1091</v>
      </c>
      <c r="B30" s="72" t="s">
        <v>49</v>
      </c>
      <c r="C30" s="125" t="s">
        <v>1106</v>
      </c>
      <c r="D30" s="260" t="s">
        <v>1107</v>
      </c>
      <c r="E30" s="72" t="s">
        <v>132</v>
      </c>
      <c r="F30" s="93">
        <v>1</v>
      </c>
      <c r="G30" s="172" t="s">
        <v>65</v>
      </c>
      <c r="H30" s="72">
        <v>14</v>
      </c>
      <c r="I30" s="240"/>
      <c r="J30" s="114"/>
      <c r="K30" s="72"/>
    </row>
    <row r="31" ht="44" customHeight="1" spans="1:11">
      <c r="A31" s="172" t="s">
        <v>1080</v>
      </c>
      <c r="B31" s="72" t="s">
        <v>49</v>
      </c>
      <c r="C31" s="125" t="s">
        <v>1108</v>
      </c>
      <c r="D31" s="260" t="s">
        <v>1109</v>
      </c>
      <c r="E31" s="72" t="s">
        <v>132</v>
      </c>
      <c r="F31" s="93">
        <v>1</v>
      </c>
      <c r="G31" s="172" t="s">
        <v>65</v>
      </c>
      <c r="H31" s="72">
        <v>22</v>
      </c>
      <c r="I31" s="240"/>
      <c r="J31" s="114"/>
      <c r="K31" s="72"/>
    </row>
    <row r="32" ht="44" customHeight="1" spans="1:11">
      <c r="A32" s="172" t="s">
        <v>1080</v>
      </c>
      <c r="B32" s="72" t="s">
        <v>49</v>
      </c>
      <c r="C32" s="261" t="s">
        <v>1110</v>
      </c>
      <c r="D32" s="260" t="s">
        <v>1111</v>
      </c>
      <c r="E32" s="74" t="s">
        <v>132</v>
      </c>
      <c r="F32" s="74">
        <v>0</v>
      </c>
      <c r="G32" s="85" t="s">
        <v>65</v>
      </c>
      <c r="H32" s="72">
        <v>266</v>
      </c>
      <c r="I32" s="240"/>
      <c r="J32" s="96"/>
      <c r="K32" s="262"/>
    </row>
    <row r="33" ht="59" customHeight="1" spans="1:11">
      <c r="A33" s="219" t="s">
        <v>1080</v>
      </c>
      <c r="B33" s="72" t="s">
        <v>49</v>
      </c>
      <c r="C33" s="261" t="s">
        <v>1112</v>
      </c>
      <c r="D33" s="260" t="s">
        <v>1113</v>
      </c>
      <c r="E33" s="74" t="s">
        <v>132</v>
      </c>
      <c r="F33" s="74">
        <v>0</v>
      </c>
      <c r="G33" s="85" t="s">
        <v>65</v>
      </c>
      <c r="H33" s="72">
        <v>938</v>
      </c>
      <c r="I33" s="240"/>
      <c r="J33" s="96"/>
      <c r="K33" s="262"/>
    </row>
    <row r="34" ht="44" customHeight="1" spans="1:11">
      <c r="A34" s="172" t="s">
        <v>1080</v>
      </c>
      <c r="B34" s="72" t="s">
        <v>49</v>
      </c>
      <c r="C34" s="261" t="s">
        <v>1114</v>
      </c>
      <c r="D34" s="260" t="s">
        <v>1115</v>
      </c>
      <c r="E34" s="74" t="s">
        <v>132</v>
      </c>
      <c r="F34" s="74">
        <v>0</v>
      </c>
      <c r="G34" s="85" t="s">
        <v>65</v>
      </c>
      <c r="H34" s="72">
        <v>504</v>
      </c>
      <c r="I34" s="240"/>
      <c r="J34" s="96"/>
      <c r="K34" s="262"/>
    </row>
    <row r="35" ht="44" customHeight="1" spans="1:11">
      <c r="A35" s="172" t="s">
        <v>1091</v>
      </c>
      <c r="B35" s="72" t="s">
        <v>49</v>
      </c>
      <c r="C35" s="261" t="s">
        <v>1116</v>
      </c>
      <c r="D35" s="260" t="s">
        <v>1117</v>
      </c>
      <c r="E35" s="74" t="s">
        <v>132</v>
      </c>
      <c r="F35" s="74">
        <v>0</v>
      </c>
      <c r="G35" s="85" t="s">
        <v>65</v>
      </c>
      <c r="H35" s="72">
        <v>168</v>
      </c>
      <c r="I35" s="240"/>
      <c r="J35" s="96"/>
      <c r="K35" s="262"/>
    </row>
    <row r="36" ht="44" customHeight="1" spans="1:11">
      <c r="A36" s="172" t="s">
        <v>1091</v>
      </c>
      <c r="B36" s="72" t="s">
        <v>49</v>
      </c>
      <c r="C36" s="261" t="s">
        <v>1118</v>
      </c>
      <c r="D36" s="260" t="s">
        <v>1119</v>
      </c>
      <c r="E36" s="74" t="s">
        <v>132</v>
      </c>
      <c r="F36" s="74">
        <v>0</v>
      </c>
      <c r="G36" s="85" t="s">
        <v>65</v>
      </c>
      <c r="H36" s="72">
        <v>630</v>
      </c>
      <c r="I36" s="240"/>
      <c r="J36" s="96"/>
      <c r="K36" s="262"/>
    </row>
    <row r="37" ht="44" customHeight="1" spans="1:11">
      <c r="A37" s="172" t="s">
        <v>1091</v>
      </c>
      <c r="B37" s="72" t="s">
        <v>49</v>
      </c>
      <c r="C37" s="261" t="s">
        <v>1120</v>
      </c>
      <c r="D37" s="260" t="s">
        <v>1121</v>
      </c>
      <c r="E37" s="74" t="s">
        <v>132</v>
      </c>
      <c r="F37" s="74">
        <v>0</v>
      </c>
      <c r="G37" s="85" t="s">
        <v>65</v>
      </c>
      <c r="H37" s="72">
        <v>322</v>
      </c>
      <c r="I37" s="240"/>
      <c r="J37" s="96"/>
      <c r="K37" s="262"/>
    </row>
    <row r="38" ht="59" customHeight="1" spans="1:11">
      <c r="A38" s="172" t="s">
        <v>1080</v>
      </c>
      <c r="B38" s="72" t="s">
        <v>49</v>
      </c>
      <c r="C38" s="261" t="s">
        <v>1122</v>
      </c>
      <c r="D38" s="260" t="s">
        <v>1123</v>
      </c>
      <c r="E38" s="74" t="s">
        <v>132</v>
      </c>
      <c r="F38" s="74">
        <v>0</v>
      </c>
      <c r="G38" s="85" t="s">
        <v>69</v>
      </c>
      <c r="H38" s="72" t="s">
        <v>143</v>
      </c>
      <c r="I38" s="238"/>
      <c r="J38" s="96"/>
      <c r="K38" s="262"/>
    </row>
    <row r="39" ht="59" customHeight="1" spans="1:11">
      <c r="A39" s="172" t="s">
        <v>1091</v>
      </c>
      <c r="B39" s="72" t="s">
        <v>49</v>
      </c>
      <c r="C39" s="261" t="s">
        <v>1124</v>
      </c>
      <c r="D39" s="260" t="s">
        <v>1125</v>
      </c>
      <c r="E39" s="74" t="s">
        <v>132</v>
      </c>
      <c r="F39" s="74">
        <v>0</v>
      </c>
      <c r="G39" s="85" t="s">
        <v>69</v>
      </c>
      <c r="H39" s="72" t="s">
        <v>143</v>
      </c>
      <c r="I39" s="238"/>
      <c r="J39" s="96"/>
      <c r="K39" s="262"/>
    </row>
    <row r="40" ht="59" customHeight="1" spans="1:11">
      <c r="A40" s="172" t="s">
        <v>1080</v>
      </c>
      <c r="B40" s="72" t="s">
        <v>49</v>
      </c>
      <c r="C40" s="261" t="s">
        <v>1126</v>
      </c>
      <c r="D40" s="260" t="s">
        <v>1127</v>
      </c>
      <c r="E40" s="74" t="s">
        <v>132</v>
      </c>
      <c r="F40" s="74">
        <v>0</v>
      </c>
      <c r="G40" s="85" t="s">
        <v>69</v>
      </c>
      <c r="H40" s="72" t="s">
        <v>143</v>
      </c>
      <c r="I40" s="238"/>
      <c r="J40" s="96"/>
      <c r="K40" s="262"/>
    </row>
    <row r="41" ht="59" customHeight="1" spans="1:11">
      <c r="A41" s="172" t="s">
        <v>1091</v>
      </c>
      <c r="B41" s="72" t="s">
        <v>49</v>
      </c>
      <c r="C41" s="261" t="s">
        <v>1128</v>
      </c>
      <c r="D41" s="260" t="s">
        <v>1129</v>
      </c>
      <c r="E41" s="74" t="s">
        <v>132</v>
      </c>
      <c r="F41" s="74">
        <v>0</v>
      </c>
      <c r="G41" s="85" t="s">
        <v>69</v>
      </c>
      <c r="H41" s="72" t="s">
        <v>143</v>
      </c>
      <c r="I41" s="238"/>
      <c r="J41" s="96"/>
      <c r="K41" s="262"/>
    </row>
    <row r="42" ht="44" customHeight="1" spans="1:11">
      <c r="A42" s="172" t="s">
        <v>1080</v>
      </c>
      <c r="B42" s="72" t="s">
        <v>49</v>
      </c>
      <c r="C42" s="261" t="s">
        <v>1130</v>
      </c>
      <c r="D42" s="260" t="s">
        <v>1131</v>
      </c>
      <c r="E42" s="74" t="s">
        <v>132</v>
      </c>
      <c r="F42" s="74">
        <v>0</v>
      </c>
      <c r="G42" s="85" t="s">
        <v>69</v>
      </c>
      <c r="H42" s="72" t="s">
        <v>143</v>
      </c>
      <c r="I42" s="238"/>
      <c r="J42" s="96"/>
      <c r="K42" s="262"/>
    </row>
    <row r="43" ht="44" customHeight="1" spans="1:11">
      <c r="A43" s="172" t="s">
        <v>1091</v>
      </c>
      <c r="B43" s="72" t="s">
        <v>49</v>
      </c>
      <c r="C43" s="261" t="s">
        <v>1132</v>
      </c>
      <c r="D43" s="260" t="s">
        <v>1133</v>
      </c>
      <c r="E43" s="74" t="s">
        <v>132</v>
      </c>
      <c r="F43" s="74">
        <v>0</v>
      </c>
      <c r="G43" s="85" t="s">
        <v>69</v>
      </c>
      <c r="H43" s="72" t="s">
        <v>143</v>
      </c>
      <c r="I43" s="238"/>
      <c r="J43" s="96"/>
      <c r="K43" s="262"/>
    </row>
    <row r="44" ht="44" customHeight="1" spans="1:11">
      <c r="A44" s="172" t="s">
        <v>1080</v>
      </c>
      <c r="B44" s="72" t="s">
        <v>49</v>
      </c>
      <c r="C44" s="261" t="s">
        <v>1134</v>
      </c>
      <c r="D44" s="260" t="s">
        <v>1135</v>
      </c>
      <c r="E44" s="74" t="s">
        <v>132</v>
      </c>
      <c r="F44" s="74">
        <v>0</v>
      </c>
      <c r="G44" s="85" t="s">
        <v>69</v>
      </c>
      <c r="H44" s="72" t="s">
        <v>143</v>
      </c>
      <c r="I44" s="238"/>
      <c r="J44" s="96"/>
      <c r="K44" s="159"/>
    </row>
    <row r="45" ht="44" customHeight="1" spans="1:11">
      <c r="A45" s="172" t="s">
        <v>1091</v>
      </c>
      <c r="B45" s="72" t="s">
        <v>49</v>
      </c>
      <c r="C45" s="261" t="s">
        <v>1136</v>
      </c>
      <c r="D45" s="260" t="s">
        <v>1137</v>
      </c>
      <c r="E45" s="74" t="s">
        <v>132</v>
      </c>
      <c r="F45" s="74">
        <v>0</v>
      </c>
      <c r="G45" s="85" t="s">
        <v>69</v>
      </c>
      <c r="H45" s="72" t="s">
        <v>143</v>
      </c>
      <c r="I45" s="238"/>
      <c r="J45" s="96"/>
      <c r="K45" s="159"/>
    </row>
  </sheetData>
  <autoFilter xmlns:etc="http://www.wps.cn/officeDocument/2017/etCustomData" ref="A1:J4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0000"/>
  </sheetPr>
  <dimension ref="A1:K13"/>
  <sheetViews>
    <sheetView workbookViewId="0">
      <pane ySplit="1" topLeftCell="A2" activePane="bottomLeft" state="frozen"/>
      <selection/>
      <selection pane="bottomLeft" activeCell="S13" sqref="S13"/>
    </sheetView>
  </sheetViews>
  <sheetFormatPr defaultColWidth="8.66371681415929" defaultRowHeight="13.85"/>
  <cols>
    <col min="1" max="2" width="25.1681415929204" style="184" customWidth="1"/>
    <col min="3" max="3" width="19.1681415929204" style="184" customWidth="1"/>
    <col min="4" max="4" width="58.6637168141593" style="214" customWidth="1"/>
    <col min="5" max="5" width="10" style="216" customWidth="1"/>
    <col min="6" max="6" width="9.66371681415929" style="246" customWidth="1"/>
    <col min="7" max="7" width="13.6637168141593" style="216" customWidth="1"/>
    <col min="8" max="8" width="11.1681415929204" style="215" customWidth="1"/>
    <col min="9" max="9" width="14.6637168141593" style="216" customWidth="1"/>
    <col min="10" max="10" width="7.66371681415929" style="216" customWidth="1"/>
    <col min="11" max="252" width="9.16814159292035" style="63" customWidth="1"/>
    <col min="253" max="253" width="25.1681415929204" style="63" customWidth="1"/>
    <col min="254" max="254" width="19.1681415929204" style="63" customWidth="1"/>
    <col min="255" max="255" width="58.6637168141593" style="63" customWidth="1"/>
    <col min="256" max="256" width="10" style="63" customWidth="1"/>
    <col min="257" max="257" width="9.66371681415929" style="63" customWidth="1"/>
    <col min="258" max="258" width="11.1681415929204" style="63" customWidth="1"/>
    <col min="259" max="259" width="10.6637168141593" style="63" customWidth="1"/>
    <col min="260" max="260" width="11.1681415929204" style="63" customWidth="1"/>
    <col min="261" max="261" width="10.1681415929204" style="63" customWidth="1"/>
    <col min="262" max="262" width="7.66371681415929" style="63" customWidth="1"/>
    <col min="263" max="508" width="9.16814159292035" style="63" customWidth="1"/>
    <col min="509" max="509" width="25.1681415929204" style="63" customWidth="1"/>
    <col min="510" max="510" width="19.1681415929204" style="63" customWidth="1"/>
    <col min="511" max="511" width="58.6637168141593" style="63" customWidth="1"/>
    <col min="512" max="512" width="10" style="63" customWidth="1"/>
    <col min="513" max="513" width="9.66371681415929" style="63" customWidth="1"/>
    <col min="514" max="514" width="11.1681415929204" style="63" customWidth="1"/>
    <col min="515" max="515" width="10.6637168141593" style="63" customWidth="1"/>
    <col min="516" max="516" width="11.1681415929204" style="63" customWidth="1"/>
    <col min="517" max="517" width="10.1681415929204" style="63" customWidth="1"/>
    <col min="518" max="518" width="7.66371681415929" style="63" customWidth="1"/>
    <col min="519" max="764" width="9.16814159292035" style="63" customWidth="1"/>
    <col min="765" max="765" width="25.1681415929204" style="63" customWidth="1"/>
    <col min="766" max="766" width="19.1681415929204" style="63" customWidth="1"/>
    <col min="767" max="767" width="58.6637168141593" style="63" customWidth="1"/>
    <col min="768" max="768" width="10" style="63" customWidth="1"/>
    <col min="769" max="769" width="9.66371681415929" style="63" customWidth="1"/>
    <col min="770" max="770" width="11.1681415929204" style="63" customWidth="1"/>
    <col min="771" max="771" width="10.6637168141593" style="63" customWidth="1"/>
    <col min="772" max="772" width="11.1681415929204" style="63" customWidth="1"/>
    <col min="773" max="773" width="10.1681415929204" style="63" customWidth="1"/>
    <col min="774" max="774" width="7.66371681415929" style="63" customWidth="1"/>
    <col min="775" max="1020" width="9.16814159292035" style="63" customWidth="1"/>
    <col min="1021" max="1021" width="25.1681415929204" style="63" customWidth="1"/>
    <col min="1022" max="1022" width="19.1681415929204" style="63" customWidth="1"/>
    <col min="1023" max="1023" width="58.6637168141593" style="63" customWidth="1"/>
    <col min="1024" max="1024" width="10" style="63" customWidth="1"/>
    <col min="1025" max="1025" width="9.66371681415929" style="63" customWidth="1"/>
    <col min="1026" max="1026" width="11.1681415929204" style="63" customWidth="1"/>
    <col min="1027" max="1027" width="10.6637168141593" style="63" customWidth="1"/>
    <col min="1028" max="1028" width="11.1681415929204" style="63" customWidth="1"/>
    <col min="1029" max="1029" width="10.1681415929204" style="63" customWidth="1"/>
    <col min="1030" max="1030" width="7.66371681415929" style="63" customWidth="1"/>
    <col min="1031" max="1276" width="9.16814159292035" style="63" customWidth="1"/>
    <col min="1277" max="1277" width="25.1681415929204" style="63" customWidth="1"/>
    <col min="1278" max="1278" width="19.1681415929204" style="63" customWidth="1"/>
    <col min="1279" max="1279" width="58.6637168141593" style="63" customWidth="1"/>
    <col min="1280" max="1280" width="10" style="63" customWidth="1"/>
    <col min="1281" max="1281" width="9.66371681415929" style="63" customWidth="1"/>
    <col min="1282" max="1282" width="11.1681415929204" style="63" customWidth="1"/>
    <col min="1283" max="1283" width="10.6637168141593" style="63" customWidth="1"/>
    <col min="1284" max="1284" width="11.1681415929204" style="63" customWidth="1"/>
    <col min="1285" max="1285" width="10.1681415929204" style="63" customWidth="1"/>
    <col min="1286" max="1286" width="7.66371681415929" style="63" customWidth="1"/>
    <col min="1287" max="1532" width="9.16814159292035" style="63" customWidth="1"/>
    <col min="1533" max="1533" width="25.1681415929204" style="63" customWidth="1"/>
    <col min="1534" max="1534" width="19.1681415929204" style="63" customWidth="1"/>
    <col min="1535" max="1535" width="58.6637168141593" style="63" customWidth="1"/>
    <col min="1536" max="1536" width="10" style="63" customWidth="1"/>
    <col min="1537" max="1537" width="9.66371681415929" style="63" customWidth="1"/>
    <col min="1538" max="1538" width="11.1681415929204" style="63" customWidth="1"/>
    <col min="1539" max="1539" width="10.6637168141593" style="63" customWidth="1"/>
    <col min="1540" max="1540" width="11.1681415929204" style="63" customWidth="1"/>
    <col min="1541" max="1541" width="10.1681415929204" style="63" customWidth="1"/>
    <col min="1542" max="1542" width="7.66371681415929" style="63" customWidth="1"/>
    <col min="1543" max="1788" width="9.16814159292035" style="63" customWidth="1"/>
    <col min="1789" max="1789" width="25.1681415929204" style="63" customWidth="1"/>
    <col min="1790" max="1790" width="19.1681415929204" style="63" customWidth="1"/>
    <col min="1791" max="1791" width="58.6637168141593" style="63" customWidth="1"/>
    <col min="1792" max="1792" width="10" style="63" customWidth="1"/>
    <col min="1793" max="1793" width="9.66371681415929" style="63" customWidth="1"/>
    <col min="1794" max="1794" width="11.1681415929204" style="63" customWidth="1"/>
    <col min="1795" max="1795" width="10.6637168141593" style="63" customWidth="1"/>
    <col min="1796" max="1796" width="11.1681415929204" style="63" customWidth="1"/>
    <col min="1797" max="1797" width="10.1681415929204" style="63" customWidth="1"/>
    <col min="1798" max="1798" width="7.66371681415929" style="63" customWidth="1"/>
    <col min="1799" max="2044" width="9.16814159292035" style="63" customWidth="1"/>
    <col min="2045" max="2045" width="25.1681415929204" style="63" customWidth="1"/>
    <col min="2046" max="2046" width="19.1681415929204" style="63" customWidth="1"/>
    <col min="2047" max="2047" width="58.6637168141593" style="63" customWidth="1"/>
    <col min="2048" max="2048" width="10" style="63" customWidth="1"/>
    <col min="2049" max="2049" width="9.66371681415929" style="63" customWidth="1"/>
    <col min="2050" max="2050" width="11.1681415929204" style="63" customWidth="1"/>
    <col min="2051" max="2051" width="10.6637168141593" style="63" customWidth="1"/>
    <col min="2052" max="2052" width="11.1681415929204" style="63" customWidth="1"/>
    <col min="2053" max="2053" width="10.1681415929204" style="63" customWidth="1"/>
    <col min="2054" max="2054" width="7.66371681415929" style="63" customWidth="1"/>
    <col min="2055" max="2300" width="9.16814159292035" style="63" customWidth="1"/>
    <col min="2301" max="2301" width="25.1681415929204" style="63" customWidth="1"/>
    <col min="2302" max="2302" width="19.1681415929204" style="63" customWidth="1"/>
    <col min="2303" max="2303" width="58.6637168141593" style="63" customWidth="1"/>
    <col min="2304" max="2304" width="10" style="63" customWidth="1"/>
    <col min="2305" max="2305" width="9.66371681415929" style="63" customWidth="1"/>
    <col min="2306" max="2306" width="11.1681415929204" style="63" customWidth="1"/>
    <col min="2307" max="2307" width="10.6637168141593" style="63" customWidth="1"/>
    <col min="2308" max="2308" width="11.1681415929204" style="63" customWidth="1"/>
    <col min="2309" max="2309" width="10.1681415929204" style="63" customWidth="1"/>
    <col min="2310" max="2310" width="7.66371681415929" style="63" customWidth="1"/>
    <col min="2311" max="2556" width="9.16814159292035" style="63" customWidth="1"/>
    <col min="2557" max="2557" width="25.1681415929204" style="63" customWidth="1"/>
    <col min="2558" max="2558" width="19.1681415929204" style="63" customWidth="1"/>
    <col min="2559" max="2559" width="58.6637168141593" style="63" customWidth="1"/>
    <col min="2560" max="2560" width="10" style="63" customWidth="1"/>
    <col min="2561" max="2561" width="9.66371681415929" style="63" customWidth="1"/>
    <col min="2562" max="2562" width="11.1681415929204" style="63" customWidth="1"/>
    <col min="2563" max="2563" width="10.6637168141593" style="63" customWidth="1"/>
    <col min="2564" max="2564" width="11.1681415929204" style="63" customWidth="1"/>
    <col min="2565" max="2565" width="10.1681415929204" style="63" customWidth="1"/>
    <col min="2566" max="2566" width="7.66371681415929" style="63" customWidth="1"/>
    <col min="2567" max="2812" width="9.16814159292035" style="63" customWidth="1"/>
    <col min="2813" max="2813" width="25.1681415929204" style="63" customWidth="1"/>
    <col min="2814" max="2814" width="19.1681415929204" style="63" customWidth="1"/>
    <col min="2815" max="2815" width="58.6637168141593" style="63" customWidth="1"/>
    <col min="2816" max="2816" width="10" style="63" customWidth="1"/>
    <col min="2817" max="2817" width="9.66371681415929" style="63" customWidth="1"/>
    <col min="2818" max="2818" width="11.1681415929204" style="63" customWidth="1"/>
    <col min="2819" max="2819" width="10.6637168141593" style="63" customWidth="1"/>
    <col min="2820" max="2820" width="11.1681415929204" style="63" customWidth="1"/>
    <col min="2821" max="2821" width="10.1681415929204" style="63" customWidth="1"/>
    <col min="2822" max="2822" width="7.66371681415929" style="63" customWidth="1"/>
    <col min="2823" max="3068" width="9.16814159292035" style="63" customWidth="1"/>
    <col min="3069" max="3069" width="25.1681415929204" style="63" customWidth="1"/>
    <col min="3070" max="3070" width="19.1681415929204" style="63" customWidth="1"/>
    <col min="3071" max="3071" width="58.6637168141593" style="63" customWidth="1"/>
    <col min="3072" max="3072" width="10" style="63" customWidth="1"/>
    <col min="3073" max="3073" width="9.66371681415929" style="63" customWidth="1"/>
    <col min="3074" max="3074" width="11.1681415929204" style="63" customWidth="1"/>
    <col min="3075" max="3075" width="10.6637168141593" style="63" customWidth="1"/>
    <col min="3076" max="3076" width="11.1681415929204" style="63" customWidth="1"/>
    <col min="3077" max="3077" width="10.1681415929204" style="63" customWidth="1"/>
    <col min="3078" max="3078" width="7.66371681415929" style="63" customWidth="1"/>
    <col min="3079" max="3324" width="9.16814159292035" style="63" customWidth="1"/>
    <col min="3325" max="3325" width="25.1681415929204" style="63" customWidth="1"/>
    <col min="3326" max="3326" width="19.1681415929204" style="63" customWidth="1"/>
    <col min="3327" max="3327" width="58.6637168141593" style="63" customWidth="1"/>
    <col min="3328" max="3328" width="10" style="63" customWidth="1"/>
    <col min="3329" max="3329" width="9.66371681415929" style="63" customWidth="1"/>
    <col min="3330" max="3330" width="11.1681415929204" style="63" customWidth="1"/>
    <col min="3331" max="3331" width="10.6637168141593" style="63" customWidth="1"/>
    <col min="3332" max="3332" width="11.1681415929204" style="63" customWidth="1"/>
    <col min="3333" max="3333" width="10.1681415929204" style="63" customWidth="1"/>
    <col min="3334" max="3334" width="7.66371681415929" style="63" customWidth="1"/>
    <col min="3335" max="3580" width="9.16814159292035" style="63" customWidth="1"/>
    <col min="3581" max="3581" width="25.1681415929204" style="63" customWidth="1"/>
    <col min="3582" max="3582" width="19.1681415929204" style="63" customWidth="1"/>
    <col min="3583" max="3583" width="58.6637168141593" style="63" customWidth="1"/>
    <col min="3584" max="3584" width="10" style="63" customWidth="1"/>
    <col min="3585" max="3585" width="9.66371681415929" style="63" customWidth="1"/>
    <col min="3586" max="3586" width="11.1681415929204" style="63" customWidth="1"/>
    <col min="3587" max="3587" width="10.6637168141593" style="63" customWidth="1"/>
    <col min="3588" max="3588" width="11.1681415929204" style="63" customWidth="1"/>
    <col min="3589" max="3589" width="10.1681415929204" style="63" customWidth="1"/>
    <col min="3590" max="3590" width="7.66371681415929" style="63" customWidth="1"/>
    <col min="3591" max="3836" width="9.16814159292035" style="63" customWidth="1"/>
    <col min="3837" max="3837" width="25.1681415929204" style="63" customWidth="1"/>
    <col min="3838" max="3838" width="19.1681415929204" style="63" customWidth="1"/>
    <col min="3839" max="3839" width="58.6637168141593" style="63" customWidth="1"/>
    <col min="3840" max="3840" width="10" style="63" customWidth="1"/>
    <col min="3841" max="3841" width="9.66371681415929" style="63" customWidth="1"/>
    <col min="3842" max="3842" width="11.1681415929204" style="63" customWidth="1"/>
    <col min="3843" max="3843" width="10.6637168141593" style="63" customWidth="1"/>
    <col min="3844" max="3844" width="11.1681415929204" style="63" customWidth="1"/>
    <col min="3845" max="3845" width="10.1681415929204" style="63" customWidth="1"/>
    <col min="3846" max="3846" width="7.66371681415929" style="63" customWidth="1"/>
    <col min="3847" max="4092" width="9.16814159292035" style="63" customWidth="1"/>
    <col min="4093" max="4093" width="25.1681415929204" style="63" customWidth="1"/>
    <col min="4094" max="4094" width="19.1681415929204" style="63" customWidth="1"/>
    <col min="4095" max="4095" width="58.6637168141593" style="63" customWidth="1"/>
    <col min="4096" max="4096" width="10" style="63" customWidth="1"/>
    <col min="4097" max="4097" width="9.66371681415929" style="63" customWidth="1"/>
    <col min="4098" max="4098" width="11.1681415929204" style="63" customWidth="1"/>
    <col min="4099" max="4099" width="10.6637168141593" style="63" customWidth="1"/>
    <col min="4100" max="4100" width="11.1681415929204" style="63" customWidth="1"/>
    <col min="4101" max="4101" width="10.1681415929204" style="63" customWidth="1"/>
    <col min="4102" max="4102" width="7.66371681415929" style="63" customWidth="1"/>
    <col min="4103" max="4348" width="9.16814159292035" style="63" customWidth="1"/>
    <col min="4349" max="4349" width="25.1681415929204" style="63" customWidth="1"/>
    <col min="4350" max="4350" width="19.1681415929204" style="63" customWidth="1"/>
    <col min="4351" max="4351" width="58.6637168141593" style="63" customWidth="1"/>
    <col min="4352" max="4352" width="10" style="63" customWidth="1"/>
    <col min="4353" max="4353" width="9.66371681415929" style="63" customWidth="1"/>
    <col min="4354" max="4354" width="11.1681415929204" style="63" customWidth="1"/>
    <col min="4355" max="4355" width="10.6637168141593" style="63" customWidth="1"/>
    <col min="4356" max="4356" width="11.1681415929204" style="63" customWidth="1"/>
    <col min="4357" max="4357" width="10.1681415929204" style="63" customWidth="1"/>
    <col min="4358" max="4358" width="7.66371681415929" style="63" customWidth="1"/>
    <col min="4359" max="4604" width="9.16814159292035" style="63" customWidth="1"/>
    <col min="4605" max="4605" width="25.1681415929204" style="63" customWidth="1"/>
    <col min="4606" max="4606" width="19.1681415929204" style="63" customWidth="1"/>
    <col min="4607" max="4607" width="58.6637168141593" style="63" customWidth="1"/>
    <col min="4608" max="4608" width="10" style="63" customWidth="1"/>
    <col min="4609" max="4609" width="9.66371681415929" style="63" customWidth="1"/>
    <col min="4610" max="4610" width="11.1681415929204" style="63" customWidth="1"/>
    <col min="4611" max="4611" width="10.6637168141593" style="63" customWidth="1"/>
    <col min="4612" max="4612" width="11.1681415929204" style="63" customWidth="1"/>
    <col min="4613" max="4613" width="10.1681415929204" style="63" customWidth="1"/>
    <col min="4614" max="4614" width="7.66371681415929" style="63" customWidth="1"/>
    <col min="4615" max="4860" width="9.16814159292035" style="63" customWidth="1"/>
    <col min="4861" max="4861" width="25.1681415929204" style="63" customWidth="1"/>
    <col min="4862" max="4862" width="19.1681415929204" style="63" customWidth="1"/>
    <col min="4863" max="4863" width="58.6637168141593" style="63" customWidth="1"/>
    <col min="4864" max="4864" width="10" style="63" customWidth="1"/>
    <col min="4865" max="4865" width="9.66371681415929" style="63" customWidth="1"/>
    <col min="4866" max="4866" width="11.1681415929204" style="63" customWidth="1"/>
    <col min="4867" max="4867" width="10.6637168141593" style="63" customWidth="1"/>
    <col min="4868" max="4868" width="11.1681415929204" style="63" customWidth="1"/>
    <col min="4869" max="4869" width="10.1681415929204" style="63" customWidth="1"/>
    <col min="4870" max="4870" width="7.66371681415929" style="63" customWidth="1"/>
    <col min="4871" max="5116" width="9.16814159292035" style="63" customWidth="1"/>
    <col min="5117" max="5117" width="25.1681415929204" style="63" customWidth="1"/>
    <col min="5118" max="5118" width="19.1681415929204" style="63" customWidth="1"/>
    <col min="5119" max="5119" width="58.6637168141593" style="63" customWidth="1"/>
    <col min="5120" max="5120" width="10" style="63" customWidth="1"/>
    <col min="5121" max="5121" width="9.66371681415929" style="63" customWidth="1"/>
    <col min="5122" max="5122" width="11.1681415929204" style="63" customWidth="1"/>
    <col min="5123" max="5123" width="10.6637168141593" style="63" customWidth="1"/>
    <col min="5124" max="5124" width="11.1681415929204" style="63" customWidth="1"/>
    <col min="5125" max="5125" width="10.1681415929204" style="63" customWidth="1"/>
    <col min="5126" max="5126" width="7.66371681415929" style="63" customWidth="1"/>
    <col min="5127" max="5372" width="9.16814159292035" style="63" customWidth="1"/>
    <col min="5373" max="5373" width="25.1681415929204" style="63" customWidth="1"/>
    <col min="5374" max="5374" width="19.1681415929204" style="63" customWidth="1"/>
    <col min="5375" max="5375" width="58.6637168141593" style="63" customWidth="1"/>
    <col min="5376" max="5376" width="10" style="63" customWidth="1"/>
    <col min="5377" max="5377" width="9.66371681415929" style="63" customWidth="1"/>
    <col min="5378" max="5378" width="11.1681415929204" style="63" customWidth="1"/>
    <col min="5379" max="5379" width="10.6637168141593" style="63" customWidth="1"/>
    <col min="5380" max="5380" width="11.1681415929204" style="63" customWidth="1"/>
    <col min="5381" max="5381" width="10.1681415929204" style="63" customWidth="1"/>
    <col min="5382" max="5382" width="7.66371681415929" style="63" customWidth="1"/>
    <col min="5383" max="5628" width="9.16814159292035" style="63" customWidth="1"/>
    <col min="5629" max="5629" width="25.1681415929204" style="63" customWidth="1"/>
    <col min="5630" max="5630" width="19.1681415929204" style="63" customWidth="1"/>
    <col min="5631" max="5631" width="58.6637168141593" style="63" customWidth="1"/>
    <col min="5632" max="5632" width="10" style="63" customWidth="1"/>
    <col min="5633" max="5633" width="9.66371681415929" style="63" customWidth="1"/>
    <col min="5634" max="5634" width="11.1681415929204" style="63" customWidth="1"/>
    <col min="5635" max="5635" width="10.6637168141593" style="63" customWidth="1"/>
    <col min="5636" max="5636" width="11.1681415929204" style="63" customWidth="1"/>
    <col min="5637" max="5637" width="10.1681415929204" style="63" customWidth="1"/>
    <col min="5638" max="5638" width="7.66371681415929" style="63" customWidth="1"/>
    <col min="5639" max="5884" width="9.16814159292035" style="63" customWidth="1"/>
    <col min="5885" max="5885" width="25.1681415929204" style="63" customWidth="1"/>
    <col min="5886" max="5886" width="19.1681415929204" style="63" customWidth="1"/>
    <col min="5887" max="5887" width="58.6637168141593" style="63" customWidth="1"/>
    <col min="5888" max="5888" width="10" style="63" customWidth="1"/>
    <col min="5889" max="5889" width="9.66371681415929" style="63" customWidth="1"/>
    <col min="5890" max="5890" width="11.1681415929204" style="63" customWidth="1"/>
    <col min="5891" max="5891" width="10.6637168141593" style="63" customWidth="1"/>
    <col min="5892" max="5892" width="11.1681415929204" style="63" customWidth="1"/>
    <col min="5893" max="5893" width="10.1681415929204" style="63" customWidth="1"/>
    <col min="5894" max="5894" width="7.66371681415929" style="63" customWidth="1"/>
    <col min="5895" max="6140" width="9.16814159292035" style="63" customWidth="1"/>
    <col min="6141" max="6141" width="25.1681415929204" style="63" customWidth="1"/>
    <col min="6142" max="6142" width="19.1681415929204" style="63" customWidth="1"/>
    <col min="6143" max="6143" width="58.6637168141593" style="63" customWidth="1"/>
    <col min="6144" max="6144" width="10" style="63" customWidth="1"/>
    <col min="6145" max="6145" width="9.66371681415929" style="63" customWidth="1"/>
    <col min="6146" max="6146" width="11.1681415929204" style="63" customWidth="1"/>
    <col min="6147" max="6147" width="10.6637168141593" style="63" customWidth="1"/>
    <col min="6148" max="6148" width="11.1681415929204" style="63" customWidth="1"/>
    <col min="6149" max="6149" width="10.1681415929204" style="63" customWidth="1"/>
    <col min="6150" max="6150" width="7.66371681415929" style="63" customWidth="1"/>
    <col min="6151" max="6396" width="9.16814159292035" style="63" customWidth="1"/>
    <col min="6397" max="6397" width="25.1681415929204" style="63" customWidth="1"/>
    <col min="6398" max="6398" width="19.1681415929204" style="63" customWidth="1"/>
    <col min="6399" max="6399" width="58.6637168141593" style="63" customWidth="1"/>
    <col min="6400" max="6400" width="10" style="63" customWidth="1"/>
    <col min="6401" max="6401" width="9.66371681415929" style="63" customWidth="1"/>
    <col min="6402" max="6402" width="11.1681415929204" style="63" customWidth="1"/>
    <col min="6403" max="6403" width="10.6637168141593" style="63" customWidth="1"/>
    <col min="6404" max="6404" width="11.1681415929204" style="63" customWidth="1"/>
    <col min="6405" max="6405" width="10.1681415929204" style="63" customWidth="1"/>
    <col min="6406" max="6406" width="7.66371681415929" style="63" customWidth="1"/>
    <col min="6407" max="6652" width="9.16814159292035" style="63" customWidth="1"/>
    <col min="6653" max="6653" width="25.1681415929204" style="63" customWidth="1"/>
    <col min="6654" max="6654" width="19.1681415929204" style="63" customWidth="1"/>
    <col min="6655" max="6655" width="58.6637168141593" style="63" customWidth="1"/>
    <col min="6656" max="6656" width="10" style="63" customWidth="1"/>
    <col min="6657" max="6657" width="9.66371681415929" style="63" customWidth="1"/>
    <col min="6658" max="6658" width="11.1681415929204" style="63" customWidth="1"/>
    <col min="6659" max="6659" width="10.6637168141593" style="63" customWidth="1"/>
    <col min="6660" max="6660" width="11.1681415929204" style="63" customWidth="1"/>
    <col min="6661" max="6661" width="10.1681415929204" style="63" customWidth="1"/>
    <col min="6662" max="6662" width="7.66371681415929" style="63" customWidth="1"/>
    <col min="6663" max="6908" width="9.16814159292035" style="63" customWidth="1"/>
    <col min="6909" max="6909" width="25.1681415929204" style="63" customWidth="1"/>
    <col min="6910" max="6910" width="19.1681415929204" style="63" customWidth="1"/>
    <col min="6911" max="6911" width="58.6637168141593" style="63" customWidth="1"/>
    <col min="6912" max="6912" width="10" style="63" customWidth="1"/>
    <col min="6913" max="6913" width="9.66371681415929" style="63" customWidth="1"/>
    <col min="6914" max="6914" width="11.1681415929204" style="63" customWidth="1"/>
    <col min="6915" max="6915" width="10.6637168141593" style="63" customWidth="1"/>
    <col min="6916" max="6916" width="11.1681415929204" style="63" customWidth="1"/>
    <col min="6917" max="6917" width="10.1681415929204" style="63" customWidth="1"/>
    <col min="6918" max="6918" width="7.66371681415929" style="63" customWidth="1"/>
    <col min="6919" max="7164" width="9.16814159292035" style="63" customWidth="1"/>
    <col min="7165" max="7165" width="25.1681415929204" style="63" customWidth="1"/>
    <col min="7166" max="7166" width="19.1681415929204" style="63" customWidth="1"/>
    <col min="7167" max="7167" width="58.6637168141593" style="63" customWidth="1"/>
    <col min="7168" max="7168" width="10" style="63" customWidth="1"/>
    <col min="7169" max="7169" width="9.66371681415929" style="63" customWidth="1"/>
    <col min="7170" max="7170" width="11.1681415929204" style="63" customWidth="1"/>
    <col min="7171" max="7171" width="10.6637168141593" style="63" customWidth="1"/>
    <col min="7172" max="7172" width="11.1681415929204" style="63" customWidth="1"/>
    <col min="7173" max="7173" width="10.1681415929204" style="63" customWidth="1"/>
    <col min="7174" max="7174" width="7.66371681415929" style="63" customWidth="1"/>
    <col min="7175" max="7420" width="9.16814159292035" style="63" customWidth="1"/>
    <col min="7421" max="7421" width="25.1681415929204" style="63" customWidth="1"/>
    <col min="7422" max="7422" width="19.1681415929204" style="63" customWidth="1"/>
    <col min="7423" max="7423" width="58.6637168141593" style="63" customWidth="1"/>
    <col min="7424" max="7424" width="10" style="63" customWidth="1"/>
    <col min="7425" max="7425" width="9.66371681415929" style="63" customWidth="1"/>
    <col min="7426" max="7426" width="11.1681415929204" style="63" customWidth="1"/>
    <col min="7427" max="7427" width="10.6637168141593" style="63" customWidth="1"/>
    <col min="7428" max="7428" width="11.1681415929204" style="63" customWidth="1"/>
    <col min="7429" max="7429" width="10.1681415929204" style="63" customWidth="1"/>
    <col min="7430" max="7430" width="7.66371681415929" style="63" customWidth="1"/>
    <col min="7431" max="7676" width="9.16814159292035" style="63" customWidth="1"/>
    <col min="7677" max="7677" width="25.1681415929204" style="63" customWidth="1"/>
    <col min="7678" max="7678" width="19.1681415929204" style="63" customWidth="1"/>
    <col min="7679" max="7679" width="58.6637168141593" style="63" customWidth="1"/>
    <col min="7680" max="7680" width="10" style="63" customWidth="1"/>
    <col min="7681" max="7681" width="9.66371681415929" style="63" customWidth="1"/>
    <col min="7682" max="7682" width="11.1681415929204" style="63" customWidth="1"/>
    <col min="7683" max="7683" width="10.6637168141593" style="63" customWidth="1"/>
    <col min="7684" max="7684" width="11.1681415929204" style="63" customWidth="1"/>
    <col min="7685" max="7685" width="10.1681415929204" style="63" customWidth="1"/>
    <col min="7686" max="7686" width="7.66371681415929" style="63" customWidth="1"/>
    <col min="7687" max="7932" width="9.16814159292035" style="63" customWidth="1"/>
    <col min="7933" max="7933" width="25.1681415929204" style="63" customWidth="1"/>
    <col min="7934" max="7934" width="19.1681415929204" style="63" customWidth="1"/>
    <col min="7935" max="7935" width="58.6637168141593" style="63" customWidth="1"/>
    <col min="7936" max="7936" width="10" style="63" customWidth="1"/>
    <col min="7937" max="7937" width="9.66371681415929" style="63" customWidth="1"/>
    <col min="7938" max="7938" width="11.1681415929204" style="63" customWidth="1"/>
    <col min="7939" max="7939" width="10.6637168141593" style="63" customWidth="1"/>
    <col min="7940" max="7940" width="11.1681415929204" style="63" customWidth="1"/>
    <col min="7941" max="7941" width="10.1681415929204" style="63" customWidth="1"/>
    <col min="7942" max="7942" width="7.66371681415929" style="63" customWidth="1"/>
    <col min="7943" max="8188" width="9.16814159292035" style="63" customWidth="1"/>
    <col min="8189" max="8189" width="25.1681415929204" style="63" customWidth="1"/>
    <col min="8190" max="8190" width="19.1681415929204" style="63" customWidth="1"/>
    <col min="8191" max="8191" width="58.6637168141593" style="63" customWidth="1"/>
    <col min="8192" max="8192" width="10" style="63" customWidth="1"/>
    <col min="8193" max="8193" width="9.66371681415929" style="63" customWidth="1"/>
    <col min="8194" max="8194" width="11.1681415929204" style="63" customWidth="1"/>
    <col min="8195" max="8195" width="10.6637168141593" style="63" customWidth="1"/>
    <col min="8196" max="8196" width="11.1681415929204" style="63" customWidth="1"/>
    <col min="8197" max="8197" width="10.1681415929204" style="63" customWidth="1"/>
    <col min="8198" max="8198" width="7.66371681415929" style="63" customWidth="1"/>
    <col min="8199" max="8444" width="9.16814159292035" style="63" customWidth="1"/>
    <col min="8445" max="8445" width="25.1681415929204" style="63" customWidth="1"/>
    <col min="8446" max="8446" width="19.1681415929204" style="63" customWidth="1"/>
    <col min="8447" max="8447" width="58.6637168141593" style="63" customWidth="1"/>
    <col min="8448" max="8448" width="10" style="63" customWidth="1"/>
    <col min="8449" max="8449" width="9.66371681415929" style="63" customWidth="1"/>
    <col min="8450" max="8450" width="11.1681415929204" style="63" customWidth="1"/>
    <col min="8451" max="8451" width="10.6637168141593" style="63" customWidth="1"/>
    <col min="8452" max="8452" width="11.1681415929204" style="63" customWidth="1"/>
    <col min="8453" max="8453" width="10.1681415929204" style="63" customWidth="1"/>
    <col min="8454" max="8454" width="7.66371681415929" style="63" customWidth="1"/>
    <col min="8455" max="8700" width="9.16814159292035" style="63" customWidth="1"/>
    <col min="8701" max="8701" width="25.1681415929204" style="63" customWidth="1"/>
    <col min="8702" max="8702" width="19.1681415929204" style="63" customWidth="1"/>
    <col min="8703" max="8703" width="58.6637168141593" style="63" customWidth="1"/>
    <col min="8704" max="8704" width="10" style="63" customWidth="1"/>
    <col min="8705" max="8705" width="9.66371681415929" style="63" customWidth="1"/>
    <col min="8706" max="8706" width="11.1681415929204" style="63" customWidth="1"/>
    <col min="8707" max="8707" width="10.6637168141593" style="63" customWidth="1"/>
    <col min="8708" max="8708" width="11.1681415929204" style="63" customWidth="1"/>
    <col min="8709" max="8709" width="10.1681415929204" style="63" customWidth="1"/>
    <col min="8710" max="8710" width="7.66371681415929" style="63" customWidth="1"/>
    <col min="8711" max="8956" width="9.16814159292035" style="63" customWidth="1"/>
    <col min="8957" max="8957" width="25.1681415929204" style="63" customWidth="1"/>
    <col min="8958" max="8958" width="19.1681415929204" style="63" customWidth="1"/>
    <col min="8959" max="8959" width="58.6637168141593" style="63" customWidth="1"/>
    <col min="8960" max="8960" width="10" style="63" customWidth="1"/>
    <col min="8961" max="8961" width="9.66371681415929" style="63" customWidth="1"/>
    <col min="8962" max="8962" width="11.1681415929204" style="63" customWidth="1"/>
    <col min="8963" max="8963" width="10.6637168141593" style="63" customWidth="1"/>
    <col min="8964" max="8964" width="11.1681415929204" style="63" customWidth="1"/>
    <col min="8965" max="8965" width="10.1681415929204" style="63" customWidth="1"/>
    <col min="8966" max="8966" width="7.66371681415929" style="63" customWidth="1"/>
    <col min="8967" max="9212" width="9.16814159292035" style="63" customWidth="1"/>
    <col min="9213" max="9213" width="25.1681415929204" style="63" customWidth="1"/>
    <col min="9214" max="9214" width="19.1681415929204" style="63" customWidth="1"/>
    <col min="9215" max="9215" width="58.6637168141593" style="63" customWidth="1"/>
    <col min="9216" max="9216" width="10" style="63" customWidth="1"/>
    <col min="9217" max="9217" width="9.66371681415929" style="63" customWidth="1"/>
    <col min="9218" max="9218" width="11.1681415929204" style="63" customWidth="1"/>
    <col min="9219" max="9219" width="10.6637168141593" style="63" customWidth="1"/>
    <col min="9220" max="9220" width="11.1681415929204" style="63" customWidth="1"/>
    <col min="9221" max="9221" width="10.1681415929204" style="63" customWidth="1"/>
    <col min="9222" max="9222" width="7.66371681415929" style="63" customWidth="1"/>
    <col min="9223" max="9468" width="9.16814159292035" style="63" customWidth="1"/>
    <col min="9469" max="9469" width="25.1681415929204" style="63" customWidth="1"/>
    <col min="9470" max="9470" width="19.1681415929204" style="63" customWidth="1"/>
    <col min="9471" max="9471" width="58.6637168141593" style="63" customWidth="1"/>
    <col min="9472" max="9472" width="10" style="63" customWidth="1"/>
    <col min="9473" max="9473" width="9.66371681415929" style="63" customWidth="1"/>
    <col min="9474" max="9474" width="11.1681415929204" style="63" customWidth="1"/>
    <col min="9475" max="9475" width="10.6637168141593" style="63" customWidth="1"/>
    <col min="9476" max="9476" width="11.1681415929204" style="63" customWidth="1"/>
    <col min="9477" max="9477" width="10.1681415929204" style="63" customWidth="1"/>
    <col min="9478" max="9478" width="7.66371681415929" style="63" customWidth="1"/>
    <col min="9479" max="9724" width="9.16814159292035" style="63" customWidth="1"/>
    <col min="9725" max="9725" width="25.1681415929204" style="63" customWidth="1"/>
    <col min="9726" max="9726" width="19.1681415929204" style="63" customWidth="1"/>
    <col min="9727" max="9727" width="58.6637168141593" style="63" customWidth="1"/>
    <col min="9728" max="9728" width="10" style="63" customWidth="1"/>
    <col min="9729" max="9729" width="9.66371681415929" style="63" customWidth="1"/>
    <col min="9730" max="9730" width="11.1681415929204" style="63" customWidth="1"/>
    <col min="9731" max="9731" width="10.6637168141593" style="63" customWidth="1"/>
    <col min="9732" max="9732" width="11.1681415929204" style="63" customWidth="1"/>
    <col min="9733" max="9733" width="10.1681415929204" style="63" customWidth="1"/>
    <col min="9734" max="9734" width="7.66371681415929" style="63" customWidth="1"/>
    <col min="9735" max="9980" width="9.16814159292035" style="63" customWidth="1"/>
    <col min="9981" max="9981" width="25.1681415929204" style="63" customWidth="1"/>
    <col min="9982" max="9982" width="19.1681415929204" style="63" customWidth="1"/>
    <col min="9983" max="9983" width="58.6637168141593" style="63" customWidth="1"/>
    <col min="9984" max="9984" width="10" style="63" customWidth="1"/>
    <col min="9985" max="9985" width="9.66371681415929" style="63" customWidth="1"/>
    <col min="9986" max="9986" width="11.1681415929204" style="63" customWidth="1"/>
    <col min="9987" max="9987" width="10.6637168141593" style="63" customWidth="1"/>
    <col min="9988" max="9988" width="11.1681415929204" style="63" customWidth="1"/>
    <col min="9989" max="9989" width="10.1681415929204" style="63" customWidth="1"/>
    <col min="9990" max="9990" width="7.66371681415929" style="63" customWidth="1"/>
    <col min="9991" max="10236" width="9.16814159292035" style="63" customWidth="1"/>
    <col min="10237" max="10237" width="25.1681415929204" style="63" customWidth="1"/>
    <col min="10238" max="10238" width="19.1681415929204" style="63" customWidth="1"/>
    <col min="10239" max="10239" width="58.6637168141593" style="63" customWidth="1"/>
    <col min="10240" max="10240" width="10" style="63" customWidth="1"/>
    <col min="10241" max="10241" width="9.66371681415929" style="63" customWidth="1"/>
    <col min="10242" max="10242" width="11.1681415929204" style="63" customWidth="1"/>
    <col min="10243" max="10243" width="10.6637168141593" style="63" customWidth="1"/>
    <col min="10244" max="10244" width="11.1681415929204" style="63" customWidth="1"/>
    <col min="10245" max="10245" width="10.1681415929204" style="63" customWidth="1"/>
    <col min="10246" max="10246" width="7.66371681415929" style="63" customWidth="1"/>
    <col min="10247" max="10492" width="9.16814159292035" style="63" customWidth="1"/>
    <col min="10493" max="10493" width="25.1681415929204" style="63" customWidth="1"/>
    <col min="10494" max="10494" width="19.1681415929204" style="63" customWidth="1"/>
    <col min="10495" max="10495" width="58.6637168141593" style="63" customWidth="1"/>
    <col min="10496" max="10496" width="10" style="63" customWidth="1"/>
    <col min="10497" max="10497" width="9.66371681415929" style="63" customWidth="1"/>
    <col min="10498" max="10498" width="11.1681415929204" style="63" customWidth="1"/>
    <col min="10499" max="10499" width="10.6637168141593" style="63" customWidth="1"/>
    <col min="10500" max="10500" width="11.1681415929204" style="63" customWidth="1"/>
    <col min="10501" max="10501" width="10.1681415929204" style="63" customWidth="1"/>
    <col min="10502" max="10502" width="7.66371681415929" style="63" customWidth="1"/>
    <col min="10503" max="10748" width="9.16814159292035" style="63" customWidth="1"/>
    <col min="10749" max="10749" width="25.1681415929204" style="63" customWidth="1"/>
    <col min="10750" max="10750" width="19.1681415929204" style="63" customWidth="1"/>
    <col min="10751" max="10751" width="58.6637168141593" style="63" customWidth="1"/>
    <col min="10752" max="10752" width="10" style="63" customWidth="1"/>
    <col min="10753" max="10753" width="9.66371681415929" style="63" customWidth="1"/>
    <col min="10754" max="10754" width="11.1681415929204" style="63" customWidth="1"/>
    <col min="10755" max="10755" width="10.6637168141593" style="63" customWidth="1"/>
    <col min="10756" max="10756" width="11.1681415929204" style="63" customWidth="1"/>
    <col min="10757" max="10757" width="10.1681415929204" style="63" customWidth="1"/>
    <col min="10758" max="10758" width="7.66371681415929" style="63" customWidth="1"/>
    <col min="10759" max="11004" width="9.16814159292035" style="63" customWidth="1"/>
    <col min="11005" max="11005" width="25.1681415929204" style="63" customWidth="1"/>
    <col min="11006" max="11006" width="19.1681415929204" style="63" customWidth="1"/>
    <col min="11007" max="11007" width="58.6637168141593" style="63" customWidth="1"/>
    <col min="11008" max="11008" width="10" style="63" customWidth="1"/>
    <col min="11009" max="11009" width="9.66371681415929" style="63" customWidth="1"/>
    <col min="11010" max="11010" width="11.1681415929204" style="63" customWidth="1"/>
    <col min="11011" max="11011" width="10.6637168141593" style="63" customWidth="1"/>
    <col min="11012" max="11012" width="11.1681415929204" style="63" customWidth="1"/>
    <col min="11013" max="11013" width="10.1681415929204" style="63" customWidth="1"/>
    <col min="11014" max="11014" width="7.66371681415929" style="63" customWidth="1"/>
    <col min="11015" max="11260" width="9.16814159292035" style="63" customWidth="1"/>
    <col min="11261" max="11261" width="25.1681415929204" style="63" customWidth="1"/>
    <col min="11262" max="11262" width="19.1681415929204" style="63" customWidth="1"/>
    <col min="11263" max="11263" width="58.6637168141593" style="63" customWidth="1"/>
    <col min="11264" max="11264" width="10" style="63" customWidth="1"/>
    <col min="11265" max="11265" width="9.66371681415929" style="63" customWidth="1"/>
    <col min="11266" max="11266" width="11.1681415929204" style="63" customWidth="1"/>
    <col min="11267" max="11267" width="10.6637168141593" style="63" customWidth="1"/>
    <col min="11268" max="11268" width="11.1681415929204" style="63" customWidth="1"/>
    <col min="11269" max="11269" width="10.1681415929204" style="63" customWidth="1"/>
    <col min="11270" max="11270" width="7.66371681415929" style="63" customWidth="1"/>
    <col min="11271" max="11516" width="9.16814159292035" style="63" customWidth="1"/>
    <col min="11517" max="11517" width="25.1681415929204" style="63" customWidth="1"/>
    <col min="11518" max="11518" width="19.1681415929204" style="63" customWidth="1"/>
    <col min="11519" max="11519" width="58.6637168141593" style="63" customWidth="1"/>
    <col min="11520" max="11520" width="10" style="63" customWidth="1"/>
    <col min="11521" max="11521" width="9.66371681415929" style="63" customWidth="1"/>
    <col min="11522" max="11522" width="11.1681415929204" style="63" customWidth="1"/>
    <col min="11523" max="11523" width="10.6637168141593" style="63" customWidth="1"/>
    <col min="11524" max="11524" width="11.1681415929204" style="63" customWidth="1"/>
    <col min="11525" max="11525" width="10.1681415929204" style="63" customWidth="1"/>
    <col min="11526" max="11526" width="7.66371681415929" style="63" customWidth="1"/>
    <col min="11527" max="11772" width="9.16814159292035" style="63" customWidth="1"/>
    <col min="11773" max="11773" width="25.1681415929204" style="63" customWidth="1"/>
    <col min="11774" max="11774" width="19.1681415929204" style="63" customWidth="1"/>
    <col min="11775" max="11775" width="58.6637168141593" style="63" customWidth="1"/>
    <col min="11776" max="11776" width="10" style="63" customWidth="1"/>
    <col min="11777" max="11777" width="9.66371681415929" style="63" customWidth="1"/>
    <col min="11778" max="11778" width="11.1681415929204" style="63" customWidth="1"/>
    <col min="11779" max="11779" width="10.6637168141593" style="63" customWidth="1"/>
    <col min="11780" max="11780" width="11.1681415929204" style="63" customWidth="1"/>
    <col min="11781" max="11781" width="10.1681415929204" style="63" customWidth="1"/>
    <col min="11782" max="11782" width="7.66371681415929" style="63" customWidth="1"/>
    <col min="11783" max="12028" width="9.16814159292035" style="63" customWidth="1"/>
    <col min="12029" max="12029" width="25.1681415929204" style="63" customWidth="1"/>
    <col min="12030" max="12030" width="19.1681415929204" style="63" customWidth="1"/>
    <col min="12031" max="12031" width="58.6637168141593" style="63" customWidth="1"/>
    <col min="12032" max="12032" width="10" style="63" customWidth="1"/>
    <col min="12033" max="12033" width="9.66371681415929" style="63" customWidth="1"/>
    <col min="12034" max="12034" width="11.1681415929204" style="63" customWidth="1"/>
    <col min="12035" max="12035" width="10.6637168141593" style="63" customWidth="1"/>
    <col min="12036" max="12036" width="11.1681415929204" style="63" customWidth="1"/>
    <col min="12037" max="12037" width="10.1681415929204" style="63" customWidth="1"/>
    <col min="12038" max="12038" width="7.66371681415929" style="63" customWidth="1"/>
    <col min="12039" max="12284" width="9.16814159292035" style="63" customWidth="1"/>
    <col min="12285" max="12285" width="25.1681415929204" style="63" customWidth="1"/>
    <col min="12286" max="12286" width="19.1681415929204" style="63" customWidth="1"/>
    <col min="12287" max="12287" width="58.6637168141593" style="63" customWidth="1"/>
    <col min="12288" max="12288" width="10" style="63" customWidth="1"/>
    <col min="12289" max="12289" width="9.66371681415929" style="63" customWidth="1"/>
    <col min="12290" max="12290" width="11.1681415929204" style="63" customWidth="1"/>
    <col min="12291" max="12291" width="10.6637168141593" style="63" customWidth="1"/>
    <col min="12292" max="12292" width="11.1681415929204" style="63" customWidth="1"/>
    <col min="12293" max="12293" width="10.1681415929204" style="63" customWidth="1"/>
    <col min="12294" max="12294" width="7.66371681415929" style="63" customWidth="1"/>
    <col min="12295" max="12540" width="9.16814159292035" style="63" customWidth="1"/>
    <col min="12541" max="12541" width="25.1681415929204" style="63" customWidth="1"/>
    <col min="12542" max="12542" width="19.1681415929204" style="63" customWidth="1"/>
    <col min="12543" max="12543" width="58.6637168141593" style="63" customWidth="1"/>
    <col min="12544" max="12544" width="10" style="63" customWidth="1"/>
    <col min="12545" max="12545" width="9.66371681415929" style="63" customWidth="1"/>
    <col min="12546" max="12546" width="11.1681415929204" style="63" customWidth="1"/>
    <col min="12547" max="12547" width="10.6637168141593" style="63" customWidth="1"/>
    <col min="12548" max="12548" width="11.1681415929204" style="63" customWidth="1"/>
    <col min="12549" max="12549" width="10.1681415929204" style="63" customWidth="1"/>
    <col min="12550" max="12550" width="7.66371681415929" style="63" customWidth="1"/>
    <col min="12551" max="12796" width="9.16814159292035" style="63" customWidth="1"/>
    <col min="12797" max="12797" width="25.1681415929204" style="63" customWidth="1"/>
    <col min="12798" max="12798" width="19.1681415929204" style="63" customWidth="1"/>
    <col min="12799" max="12799" width="58.6637168141593" style="63" customWidth="1"/>
    <col min="12800" max="12800" width="10" style="63" customWidth="1"/>
    <col min="12801" max="12801" width="9.66371681415929" style="63" customWidth="1"/>
    <col min="12802" max="12802" width="11.1681415929204" style="63" customWidth="1"/>
    <col min="12803" max="12803" width="10.6637168141593" style="63" customWidth="1"/>
    <col min="12804" max="12804" width="11.1681415929204" style="63" customWidth="1"/>
    <col min="12805" max="12805" width="10.1681415929204" style="63" customWidth="1"/>
    <col min="12806" max="12806" width="7.66371681415929" style="63" customWidth="1"/>
    <col min="12807" max="13052" width="9.16814159292035" style="63" customWidth="1"/>
    <col min="13053" max="13053" width="25.1681415929204" style="63" customWidth="1"/>
    <col min="13054" max="13054" width="19.1681415929204" style="63" customWidth="1"/>
    <col min="13055" max="13055" width="58.6637168141593" style="63" customWidth="1"/>
    <col min="13056" max="13056" width="10" style="63" customWidth="1"/>
    <col min="13057" max="13057" width="9.66371681415929" style="63" customWidth="1"/>
    <col min="13058" max="13058" width="11.1681415929204" style="63" customWidth="1"/>
    <col min="13059" max="13059" width="10.6637168141593" style="63" customWidth="1"/>
    <col min="13060" max="13060" width="11.1681415929204" style="63" customWidth="1"/>
    <col min="13061" max="13061" width="10.1681415929204" style="63" customWidth="1"/>
    <col min="13062" max="13062" width="7.66371681415929" style="63" customWidth="1"/>
    <col min="13063" max="13308" width="9.16814159292035" style="63" customWidth="1"/>
    <col min="13309" max="13309" width="25.1681415929204" style="63" customWidth="1"/>
    <col min="13310" max="13310" width="19.1681415929204" style="63" customWidth="1"/>
    <col min="13311" max="13311" width="58.6637168141593" style="63" customWidth="1"/>
    <col min="13312" max="13312" width="10" style="63" customWidth="1"/>
    <col min="13313" max="13313" width="9.66371681415929" style="63" customWidth="1"/>
    <col min="13314" max="13314" width="11.1681415929204" style="63" customWidth="1"/>
    <col min="13315" max="13315" width="10.6637168141593" style="63" customWidth="1"/>
    <col min="13316" max="13316" width="11.1681415929204" style="63" customWidth="1"/>
    <col min="13317" max="13317" width="10.1681415929204" style="63" customWidth="1"/>
    <col min="13318" max="13318" width="7.66371681415929" style="63" customWidth="1"/>
    <col min="13319" max="13564" width="9.16814159292035" style="63" customWidth="1"/>
    <col min="13565" max="13565" width="25.1681415929204" style="63" customWidth="1"/>
    <col min="13566" max="13566" width="19.1681415929204" style="63" customWidth="1"/>
    <col min="13567" max="13567" width="58.6637168141593" style="63" customWidth="1"/>
    <col min="13568" max="13568" width="10" style="63" customWidth="1"/>
    <col min="13569" max="13569" width="9.66371681415929" style="63" customWidth="1"/>
    <col min="13570" max="13570" width="11.1681415929204" style="63" customWidth="1"/>
    <col min="13571" max="13571" width="10.6637168141593" style="63" customWidth="1"/>
    <col min="13572" max="13572" width="11.1681415929204" style="63" customWidth="1"/>
    <col min="13573" max="13573" width="10.1681415929204" style="63" customWidth="1"/>
    <col min="13574" max="13574" width="7.66371681415929" style="63" customWidth="1"/>
    <col min="13575" max="13820" width="9.16814159292035" style="63" customWidth="1"/>
    <col min="13821" max="13821" width="25.1681415929204" style="63" customWidth="1"/>
    <col min="13822" max="13822" width="19.1681415929204" style="63" customWidth="1"/>
    <col min="13823" max="13823" width="58.6637168141593" style="63" customWidth="1"/>
    <col min="13824" max="13824" width="10" style="63" customWidth="1"/>
    <col min="13825" max="13825" width="9.66371681415929" style="63" customWidth="1"/>
    <col min="13826" max="13826" width="11.1681415929204" style="63" customWidth="1"/>
    <col min="13827" max="13827" width="10.6637168141593" style="63" customWidth="1"/>
    <col min="13828" max="13828" width="11.1681415929204" style="63" customWidth="1"/>
    <col min="13829" max="13829" width="10.1681415929204" style="63" customWidth="1"/>
    <col min="13830" max="13830" width="7.66371681415929" style="63" customWidth="1"/>
    <col min="13831" max="14076" width="9.16814159292035" style="63" customWidth="1"/>
    <col min="14077" max="14077" width="25.1681415929204" style="63" customWidth="1"/>
    <col min="14078" max="14078" width="19.1681415929204" style="63" customWidth="1"/>
    <col min="14079" max="14079" width="58.6637168141593" style="63" customWidth="1"/>
    <col min="14080" max="14080" width="10" style="63" customWidth="1"/>
    <col min="14081" max="14081" width="9.66371681415929" style="63" customWidth="1"/>
    <col min="14082" max="14082" width="11.1681415929204" style="63" customWidth="1"/>
    <col min="14083" max="14083" width="10.6637168141593" style="63" customWidth="1"/>
    <col min="14084" max="14084" width="11.1681415929204" style="63" customWidth="1"/>
    <col min="14085" max="14085" width="10.1681415929204" style="63" customWidth="1"/>
    <col min="14086" max="14086" width="7.66371681415929" style="63" customWidth="1"/>
    <col min="14087" max="14332" width="9.16814159292035" style="63" customWidth="1"/>
    <col min="14333" max="14333" width="25.1681415929204" style="63" customWidth="1"/>
    <col min="14334" max="14334" width="19.1681415929204" style="63" customWidth="1"/>
    <col min="14335" max="14335" width="58.6637168141593" style="63" customWidth="1"/>
    <col min="14336" max="14336" width="10" style="63" customWidth="1"/>
    <col min="14337" max="14337" width="9.66371681415929" style="63" customWidth="1"/>
    <col min="14338" max="14338" width="11.1681415929204" style="63" customWidth="1"/>
    <col min="14339" max="14339" width="10.6637168141593" style="63" customWidth="1"/>
    <col min="14340" max="14340" width="11.1681415929204" style="63" customWidth="1"/>
    <col min="14341" max="14341" width="10.1681415929204" style="63" customWidth="1"/>
    <col min="14342" max="14342" width="7.66371681415929" style="63" customWidth="1"/>
    <col min="14343" max="14588" width="9.16814159292035" style="63" customWidth="1"/>
    <col min="14589" max="14589" width="25.1681415929204" style="63" customWidth="1"/>
    <col min="14590" max="14590" width="19.1681415929204" style="63" customWidth="1"/>
    <col min="14591" max="14591" width="58.6637168141593" style="63" customWidth="1"/>
    <col min="14592" max="14592" width="10" style="63" customWidth="1"/>
    <col min="14593" max="14593" width="9.66371681415929" style="63" customWidth="1"/>
    <col min="14594" max="14594" width="11.1681415929204" style="63" customWidth="1"/>
    <col min="14595" max="14595" width="10.6637168141593" style="63" customWidth="1"/>
    <col min="14596" max="14596" width="11.1681415929204" style="63" customWidth="1"/>
    <col min="14597" max="14597" width="10.1681415929204" style="63" customWidth="1"/>
    <col min="14598" max="14598" width="7.66371681415929" style="63" customWidth="1"/>
    <col min="14599" max="14844" width="9.16814159292035" style="63" customWidth="1"/>
    <col min="14845" max="14845" width="25.1681415929204" style="63" customWidth="1"/>
    <col min="14846" max="14846" width="19.1681415929204" style="63" customWidth="1"/>
    <col min="14847" max="14847" width="58.6637168141593" style="63" customWidth="1"/>
    <col min="14848" max="14848" width="10" style="63" customWidth="1"/>
    <col min="14849" max="14849" width="9.66371681415929" style="63" customWidth="1"/>
    <col min="14850" max="14850" width="11.1681415929204" style="63" customWidth="1"/>
    <col min="14851" max="14851" width="10.6637168141593" style="63" customWidth="1"/>
    <col min="14852" max="14852" width="11.1681415929204" style="63" customWidth="1"/>
    <col min="14853" max="14853" width="10.1681415929204" style="63" customWidth="1"/>
    <col min="14854" max="14854" width="7.66371681415929" style="63" customWidth="1"/>
    <col min="14855" max="15100" width="9.16814159292035" style="63" customWidth="1"/>
    <col min="15101" max="15101" width="25.1681415929204" style="63" customWidth="1"/>
    <col min="15102" max="15102" width="19.1681415929204" style="63" customWidth="1"/>
    <col min="15103" max="15103" width="58.6637168141593" style="63" customWidth="1"/>
    <col min="15104" max="15104" width="10" style="63" customWidth="1"/>
    <col min="15105" max="15105" width="9.66371681415929" style="63" customWidth="1"/>
    <col min="15106" max="15106" width="11.1681415929204" style="63" customWidth="1"/>
    <col min="15107" max="15107" width="10.6637168141593" style="63" customWidth="1"/>
    <col min="15108" max="15108" width="11.1681415929204" style="63" customWidth="1"/>
    <col min="15109" max="15109" width="10.1681415929204" style="63" customWidth="1"/>
    <col min="15110" max="15110" width="7.66371681415929" style="63" customWidth="1"/>
    <col min="15111" max="15356" width="9.16814159292035" style="63" customWidth="1"/>
    <col min="15357" max="15357" width="25.1681415929204" style="63" customWidth="1"/>
    <col min="15358" max="15358" width="19.1681415929204" style="63" customWidth="1"/>
    <col min="15359" max="15359" width="58.6637168141593" style="63" customWidth="1"/>
    <col min="15360" max="15360" width="10" style="63" customWidth="1"/>
    <col min="15361" max="15361" width="9.66371681415929" style="63" customWidth="1"/>
    <col min="15362" max="15362" width="11.1681415929204" style="63" customWidth="1"/>
    <col min="15363" max="15363" width="10.6637168141593" style="63" customWidth="1"/>
    <col min="15364" max="15364" width="11.1681415929204" style="63" customWidth="1"/>
    <col min="15365" max="15365" width="10.1681415929204" style="63" customWidth="1"/>
    <col min="15366" max="15366" width="7.66371681415929" style="63" customWidth="1"/>
    <col min="15367" max="15612" width="9.16814159292035" style="63" customWidth="1"/>
    <col min="15613" max="15613" width="25.1681415929204" style="63" customWidth="1"/>
    <col min="15614" max="15614" width="19.1681415929204" style="63" customWidth="1"/>
    <col min="15615" max="15615" width="58.6637168141593" style="63" customWidth="1"/>
    <col min="15616" max="15616" width="10" style="63" customWidth="1"/>
    <col min="15617" max="15617" width="9.66371681415929" style="63" customWidth="1"/>
    <col min="15618" max="15618" width="11.1681415929204" style="63" customWidth="1"/>
    <col min="15619" max="15619" width="10.6637168141593" style="63" customWidth="1"/>
    <col min="15620" max="15620" width="11.1681415929204" style="63" customWidth="1"/>
    <col min="15621" max="15621" width="10.1681415929204" style="63" customWidth="1"/>
    <col min="15622" max="15622" width="7.66371681415929" style="63" customWidth="1"/>
    <col min="15623" max="15868" width="9.16814159292035" style="63" customWidth="1"/>
    <col min="15869" max="15869" width="25.1681415929204" style="63" customWidth="1"/>
    <col min="15870" max="15870" width="19.1681415929204" style="63" customWidth="1"/>
    <col min="15871" max="15871" width="58.6637168141593" style="63" customWidth="1"/>
    <col min="15872" max="15872" width="10" style="63" customWidth="1"/>
    <col min="15873" max="15873" width="9.66371681415929" style="63" customWidth="1"/>
    <col min="15874" max="15874" width="11.1681415929204" style="63" customWidth="1"/>
    <col min="15875" max="15875" width="10.6637168141593" style="63" customWidth="1"/>
    <col min="15876" max="15876" width="11.1681415929204" style="63" customWidth="1"/>
    <col min="15877" max="15877" width="10.1681415929204" style="63" customWidth="1"/>
    <col min="15878" max="15878" width="7.66371681415929" style="63" customWidth="1"/>
    <col min="15879" max="16124" width="9.16814159292035" style="63" customWidth="1"/>
    <col min="16125" max="16125" width="25.1681415929204" style="63" customWidth="1"/>
    <col min="16126" max="16126" width="19.1681415929204" style="63" customWidth="1"/>
    <col min="16127" max="16127" width="58.6637168141593" style="63" customWidth="1"/>
    <col min="16128" max="16128" width="10" style="63" customWidth="1"/>
    <col min="16129" max="16129" width="9.66371681415929" style="63" customWidth="1"/>
    <col min="16130" max="16130" width="11.1681415929204" style="63" customWidth="1"/>
    <col min="16131" max="16131" width="10.6637168141593" style="63" customWidth="1"/>
    <col min="16132" max="16132" width="11.1681415929204" style="63" customWidth="1"/>
    <col min="16133" max="16133" width="10.1681415929204" style="63" customWidth="1"/>
    <col min="16134" max="16134" width="7.66371681415929" style="63" customWidth="1"/>
    <col min="16135" max="16384" width="9.16814159292035" style="63" customWidth="1"/>
  </cols>
  <sheetData>
    <row r="1" spans="1:11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59" customHeight="1" spans="1:11">
      <c r="A2" s="196" t="s">
        <v>1138</v>
      </c>
      <c r="B2" s="120" t="s">
        <v>49</v>
      </c>
      <c r="C2" s="196" t="s">
        <v>1139</v>
      </c>
      <c r="D2" s="73" t="s">
        <v>1140</v>
      </c>
      <c r="E2" s="196" t="s">
        <v>132</v>
      </c>
      <c r="F2" s="196">
        <v>1</v>
      </c>
      <c r="G2" s="196" t="s">
        <v>65</v>
      </c>
      <c r="H2" s="72">
        <v>36</v>
      </c>
      <c r="I2" s="114"/>
      <c r="J2" s="200"/>
      <c r="K2" s="250"/>
    </row>
    <row r="3" ht="59" customHeight="1" spans="1:11">
      <c r="A3" s="196" t="s">
        <v>1138</v>
      </c>
      <c r="B3" s="120" t="s">
        <v>49</v>
      </c>
      <c r="C3" s="196" t="s">
        <v>1141</v>
      </c>
      <c r="D3" s="73" t="s">
        <v>1142</v>
      </c>
      <c r="E3" s="196" t="s">
        <v>132</v>
      </c>
      <c r="F3" s="196">
        <v>1</v>
      </c>
      <c r="G3" s="196" t="s">
        <v>65</v>
      </c>
      <c r="H3" s="72">
        <v>54</v>
      </c>
      <c r="I3" s="114"/>
      <c r="J3" s="200"/>
      <c r="K3" s="250"/>
    </row>
    <row r="4" ht="44" customHeight="1" spans="1:11">
      <c r="A4" s="196" t="s">
        <v>1138</v>
      </c>
      <c r="B4" s="120" t="s">
        <v>49</v>
      </c>
      <c r="C4" s="196" t="s">
        <v>1143</v>
      </c>
      <c r="D4" s="73" t="s">
        <v>1144</v>
      </c>
      <c r="E4" s="196" t="s">
        <v>132</v>
      </c>
      <c r="F4" s="196">
        <v>1</v>
      </c>
      <c r="G4" s="196" t="s">
        <v>65</v>
      </c>
      <c r="H4" s="72">
        <v>21</v>
      </c>
      <c r="I4" s="114"/>
      <c r="J4" s="200"/>
      <c r="K4" s="250"/>
    </row>
    <row r="5" ht="44" customHeight="1" spans="1:11">
      <c r="A5" s="196" t="s">
        <v>1138</v>
      </c>
      <c r="B5" s="120" t="s">
        <v>49</v>
      </c>
      <c r="C5" s="196" t="s">
        <v>1145</v>
      </c>
      <c r="D5" s="73" t="s">
        <v>1146</v>
      </c>
      <c r="E5" s="196" t="s">
        <v>132</v>
      </c>
      <c r="F5" s="196">
        <v>1</v>
      </c>
      <c r="G5" s="196" t="s">
        <v>65</v>
      </c>
      <c r="H5" s="72">
        <v>31</v>
      </c>
      <c r="I5" s="114"/>
      <c r="J5" s="200"/>
      <c r="K5" s="250"/>
    </row>
    <row r="6" ht="44" customHeight="1" spans="1:11">
      <c r="A6" s="196" t="s">
        <v>1138</v>
      </c>
      <c r="B6" s="120" t="s">
        <v>49</v>
      </c>
      <c r="C6" s="196" t="s">
        <v>1147</v>
      </c>
      <c r="D6" s="73" t="s">
        <v>1148</v>
      </c>
      <c r="E6" s="196" t="s">
        <v>132</v>
      </c>
      <c r="F6" s="196">
        <v>0</v>
      </c>
      <c r="G6" s="196" t="s">
        <v>65</v>
      </c>
      <c r="H6" s="72">
        <v>442</v>
      </c>
      <c r="I6" s="114"/>
      <c r="J6" s="200"/>
      <c r="K6" s="100" t="s">
        <v>1149</v>
      </c>
    </row>
    <row r="7" ht="59" customHeight="1" spans="1:11">
      <c r="A7" s="196" t="s">
        <v>1138</v>
      </c>
      <c r="B7" s="120" t="s">
        <v>49</v>
      </c>
      <c r="C7" s="196" t="s">
        <v>1150</v>
      </c>
      <c r="D7" s="73" t="s">
        <v>1151</v>
      </c>
      <c r="E7" s="196" t="s">
        <v>132</v>
      </c>
      <c r="F7" s="196">
        <v>0</v>
      </c>
      <c r="G7" s="196" t="s">
        <v>65</v>
      </c>
      <c r="H7" s="72">
        <v>650</v>
      </c>
      <c r="I7" s="114"/>
      <c r="J7" s="200"/>
      <c r="K7" s="100" t="s">
        <v>1149</v>
      </c>
    </row>
    <row r="8" ht="44" customHeight="1" spans="1:11">
      <c r="A8" s="196" t="s">
        <v>1138</v>
      </c>
      <c r="B8" s="120" t="s">
        <v>49</v>
      </c>
      <c r="C8" s="196" t="s">
        <v>1152</v>
      </c>
      <c r="D8" s="73" t="s">
        <v>1153</v>
      </c>
      <c r="E8" s="196" t="s">
        <v>132</v>
      </c>
      <c r="F8" s="196">
        <v>0</v>
      </c>
      <c r="G8" s="196" t="s">
        <v>65</v>
      </c>
      <c r="H8" s="72">
        <v>819</v>
      </c>
      <c r="I8" s="114"/>
      <c r="J8" s="200"/>
      <c r="K8" s="250"/>
    </row>
    <row r="9" ht="59" customHeight="1" spans="1:11">
      <c r="A9" s="196" t="s">
        <v>1138</v>
      </c>
      <c r="B9" s="120" t="s">
        <v>49</v>
      </c>
      <c r="C9" s="196" t="s">
        <v>1154</v>
      </c>
      <c r="D9" s="73" t="s">
        <v>1155</v>
      </c>
      <c r="E9" s="196" t="s">
        <v>132</v>
      </c>
      <c r="F9" s="196">
        <v>0</v>
      </c>
      <c r="G9" s="196" t="s">
        <v>65</v>
      </c>
      <c r="H9" s="72">
        <v>1209</v>
      </c>
      <c r="I9" s="114"/>
      <c r="J9" s="200"/>
      <c r="K9" s="250"/>
    </row>
    <row r="10" ht="44" customHeight="1" spans="1:11">
      <c r="A10" s="196" t="s">
        <v>1138</v>
      </c>
      <c r="B10" s="120" t="s">
        <v>49</v>
      </c>
      <c r="C10" s="196" t="s">
        <v>1156</v>
      </c>
      <c r="D10" s="73" t="s">
        <v>1157</v>
      </c>
      <c r="E10" s="196" t="s">
        <v>132</v>
      </c>
      <c r="F10" s="196">
        <v>0</v>
      </c>
      <c r="G10" s="196" t="s">
        <v>65</v>
      </c>
      <c r="H10" s="72">
        <v>247</v>
      </c>
      <c r="I10" s="114"/>
      <c r="J10" s="200"/>
      <c r="K10" s="251"/>
    </row>
    <row r="11" ht="44" customHeight="1" spans="1:11">
      <c r="A11" s="196" t="s">
        <v>1138</v>
      </c>
      <c r="B11" s="120" t="s">
        <v>49</v>
      </c>
      <c r="C11" s="196" t="s">
        <v>1158</v>
      </c>
      <c r="D11" s="73" t="s">
        <v>1159</v>
      </c>
      <c r="E11" s="196" t="s">
        <v>132</v>
      </c>
      <c r="F11" s="196">
        <v>0</v>
      </c>
      <c r="G11" s="196" t="s">
        <v>65</v>
      </c>
      <c r="H11" s="72">
        <v>364</v>
      </c>
      <c r="I11" s="114"/>
      <c r="J11" s="200"/>
      <c r="K11" s="251"/>
    </row>
    <row r="12" ht="44" customHeight="1" spans="1:11">
      <c r="A12" s="196" t="s">
        <v>1138</v>
      </c>
      <c r="B12" s="120" t="s">
        <v>49</v>
      </c>
      <c r="C12" s="196" t="s">
        <v>1160</v>
      </c>
      <c r="D12" s="73" t="s">
        <v>1161</v>
      </c>
      <c r="E12" s="196" t="s">
        <v>132</v>
      </c>
      <c r="F12" s="196">
        <v>0</v>
      </c>
      <c r="G12" s="196" t="s">
        <v>65</v>
      </c>
      <c r="H12" s="72">
        <v>468</v>
      </c>
      <c r="I12" s="114"/>
      <c r="J12" s="200"/>
      <c r="K12" s="251"/>
    </row>
    <row r="13" ht="44" customHeight="1" spans="1:11">
      <c r="A13" s="196" t="s">
        <v>1138</v>
      </c>
      <c r="B13" s="120" t="s">
        <v>49</v>
      </c>
      <c r="C13" s="196" t="s">
        <v>1162</v>
      </c>
      <c r="D13" s="73" t="s">
        <v>1163</v>
      </c>
      <c r="E13" s="196" t="s">
        <v>132</v>
      </c>
      <c r="F13" s="196">
        <v>0</v>
      </c>
      <c r="G13" s="196" t="s">
        <v>65</v>
      </c>
      <c r="H13" s="72">
        <v>689</v>
      </c>
      <c r="I13" s="114"/>
      <c r="J13" s="200"/>
      <c r="K13" s="251"/>
    </row>
  </sheetData>
  <autoFilter xmlns:etc="http://www.wps.cn/officeDocument/2017/etCustomData" ref="A1:J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2E3917"/>
  </sheetPr>
  <dimension ref="A1:K4"/>
  <sheetViews>
    <sheetView workbookViewId="0">
      <pane ySplit="1" topLeftCell="A2" activePane="bottomLeft" state="frozen"/>
      <selection/>
      <selection pane="bottomLeft" activeCell="P13" sqref="P13"/>
    </sheetView>
  </sheetViews>
  <sheetFormatPr defaultColWidth="9" defaultRowHeight="13.85" outlineLevelRow="3"/>
  <cols>
    <col min="1" max="2" width="24.6637168141593" style="184" customWidth="1"/>
    <col min="3" max="3" width="19" style="184" customWidth="1"/>
    <col min="4" max="4" width="71.1681415929203" style="214" customWidth="1"/>
    <col min="5" max="5" width="10" style="216" customWidth="1"/>
    <col min="6" max="6" width="9.66371681415929" style="246" customWidth="1"/>
    <col min="7" max="7" width="12.1681415929204" style="216" customWidth="1"/>
    <col min="8" max="8" width="11.1681415929204" style="215" customWidth="1"/>
    <col min="9" max="9" width="11" style="216" customWidth="1"/>
    <col min="10" max="10" width="7.66371681415929" style="216" customWidth="1"/>
    <col min="11" max="11" width="12.3362831858407" style="63" customWidth="1"/>
    <col min="12" max="12" width="9" style="63" customWidth="1"/>
    <col min="13" max="16384" width="9" style="63"/>
  </cols>
  <sheetData>
    <row r="1" spans="1:11">
      <c r="A1" s="91" t="s">
        <v>50</v>
      </c>
      <c r="B1" s="91" t="s">
        <v>51</v>
      </c>
      <c r="C1" s="91" t="s">
        <v>52</v>
      </c>
      <c r="D1" s="91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30" customHeight="1" spans="1:11">
      <c r="A2" s="110" t="s">
        <v>1164</v>
      </c>
      <c r="B2" s="110" t="s">
        <v>49</v>
      </c>
      <c r="C2" s="110" t="s">
        <v>1165</v>
      </c>
      <c r="D2" s="247" t="s">
        <v>1166</v>
      </c>
      <c r="E2" s="248" t="s">
        <v>132</v>
      </c>
      <c r="F2" s="74">
        <v>1</v>
      </c>
      <c r="G2" s="110" t="s">
        <v>65</v>
      </c>
      <c r="H2" s="72">
        <v>44</v>
      </c>
      <c r="I2" s="100"/>
      <c r="J2" s="100"/>
      <c r="K2" s="100"/>
    </row>
    <row r="3" ht="30" customHeight="1" spans="1:11">
      <c r="A3" s="110" t="s">
        <v>1167</v>
      </c>
      <c r="B3" s="110" t="s">
        <v>49</v>
      </c>
      <c r="C3" s="249" t="s">
        <v>1168</v>
      </c>
      <c r="D3" s="73" t="s">
        <v>1169</v>
      </c>
      <c r="E3" s="249" t="s">
        <v>132</v>
      </c>
      <c r="F3" s="249">
        <v>0</v>
      </c>
      <c r="G3" s="249" t="s">
        <v>65</v>
      </c>
      <c r="H3" s="72">
        <v>280</v>
      </c>
      <c r="I3" s="100"/>
      <c r="J3" s="238"/>
      <c r="K3" s="238"/>
    </row>
    <row r="4" ht="30" customHeight="1" spans="1:11">
      <c r="A4" s="110" t="s">
        <v>1167</v>
      </c>
      <c r="B4" s="110" t="s">
        <v>49</v>
      </c>
      <c r="C4" s="249" t="s">
        <v>1170</v>
      </c>
      <c r="D4" s="76" t="s">
        <v>1171</v>
      </c>
      <c r="E4" s="249" t="s">
        <v>132</v>
      </c>
      <c r="F4" s="249">
        <v>0</v>
      </c>
      <c r="G4" s="249" t="s">
        <v>65</v>
      </c>
      <c r="H4" s="72">
        <v>24</v>
      </c>
      <c r="I4" s="100"/>
      <c r="J4" s="238"/>
      <c r="K4" s="238"/>
    </row>
  </sheetData>
  <autoFilter xmlns:etc="http://www.wps.cn/officeDocument/2017/etCustomData" ref="A1:K4" etc:filterBottomFollowUsedRange="0">
    <extLst/>
  </autoFilter>
  <pageMargins left="0.75" right="0.75" top="1" bottom="1" header="0.5" footer="0.5"/>
  <pageSetup paperSize="1" scale="49" orientation="portrait"/>
  <headerFooter alignWithMargins="0">
    <oddHeader>&amp;C&amp;"Arial,Bold"&amp;12 OmniSwitch 6250Worldwide Price List - February 2015&amp;RAs of 02/09/2015</oddHeader>
    <oddFooter>&amp;CAlcatel-Lucent - Enterprise Solutions Division - Confidential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M24"/>
  <sheetViews>
    <sheetView topLeftCell="B1" workbookViewId="0">
      <selection activeCell="P6" sqref="P6"/>
    </sheetView>
  </sheetViews>
  <sheetFormatPr defaultColWidth="8.66371681415929" defaultRowHeight="13.85"/>
  <cols>
    <col min="1" max="1" width="26.1681415929204" style="184" customWidth="1"/>
    <col min="2" max="2" width="12.1681415929204" style="184" customWidth="1"/>
    <col min="3" max="3" width="17.1681415929204" style="184" customWidth="1"/>
    <col min="4" max="4" width="84.6637168141593" style="214" customWidth="1"/>
    <col min="5" max="5" width="12.1681415929204" style="215" customWidth="1"/>
    <col min="6" max="6" width="10.1681415929204" style="216" customWidth="1"/>
    <col min="7" max="7" width="28.8318584070796" style="216" customWidth="1"/>
    <col min="8" max="8" width="46" style="63" customWidth="1"/>
    <col min="9" max="9" width="16.1681415929204" style="239" customWidth="1"/>
    <col min="10" max="247" width="9.16814159292035" style="63" customWidth="1"/>
    <col min="248" max="248" width="25.1681415929204" style="63" customWidth="1"/>
    <col min="249" max="249" width="19.1681415929204" style="63" customWidth="1"/>
    <col min="250" max="250" width="58.6637168141593" style="63" customWidth="1"/>
    <col min="251" max="251" width="10" style="63" customWidth="1"/>
    <col min="252" max="252" width="9.66371681415929" style="63" customWidth="1"/>
    <col min="253" max="253" width="11.1681415929204" style="63" customWidth="1"/>
    <col min="254" max="254" width="10.6637168141593" style="63" customWidth="1"/>
    <col min="255" max="255" width="11.1681415929204" style="63" customWidth="1"/>
    <col min="256" max="256" width="10.1681415929204" style="63" customWidth="1"/>
    <col min="257" max="257" width="7.66371681415929" style="63" customWidth="1"/>
    <col min="258" max="503" width="9.16814159292035" style="63" customWidth="1"/>
    <col min="504" max="504" width="25.1681415929204" style="63" customWidth="1"/>
    <col min="505" max="505" width="19.1681415929204" style="63" customWidth="1"/>
    <col min="506" max="506" width="58.6637168141593" style="63" customWidth="1"/>
    <col min="507" max="507" width="10" style="63" customWidth="1"/>
    <col min="508" max="508" width="9.66371681415929" style="63" customWidth="1"/>
    <col min="509" max="509" width="11.1681415929204" style="63" customWidth="1"/>
    <col min="510" max="510" width="10.6637168141593" style="63" customWidth="1"/>
    <col min="511" max="511" width="11.1681415929204" style="63" customWidth="1"/>
    <col min="512" max="512" width="10.1681415929204" style="63" customWidth="1"/>
    <col min="513" max="513" width="7.66371681415929" style="63" customWidth="1"/>
    <col min="514" max="759" width="9.16814159292035" style="63" customWidth="1"/>
    <col min="760" max="760" width="25.1681415929204" style="63" customWidth="1"/>
    <col min="761" max="761" width="19.1681415929204" style="63" customWidth="1"/>
    <col min="762" max="762" width="58.6637168141593" style="63" customWidth="1"/>
    <col min="763" max="763" width="10" style="63" customWidth="1"/>
    <col min="764" max="764" width="9.66371681415929" style="63" customWidth="1"/>
    <col min="765" max="765" width="11.1681415929204" style="63" customWidth="1"/>
    <col min="766" max="766" width="10.6637168141593" style="63" customWidth="1"/>
    <col min="767" max="767" width="11.1681415929204" style="63" customWidth="1"/>
    <col min="768" max="768" width="10.1681415929204" style="63" customWidth="1"/>
    <col min="769" max="769" width="7.66371681415929" style="63" customWidth="1"/>
    <col min="770" max="1015" width="9.16814159292035" style="63" customWidth="1"/>
    <col min="1016" max="1016" width="25.1681415929204" style="63" customWidth="1"/>
    <col min="1017" max="1017" width="19.1681415929204" style="63" customWidth="1"/>
    <col min="1018" max="1018" width="58.6637168141593" style="63" customWidth="1"/>
    <col min="1019" max="1019" width="10" style="63" customWidth="1"/>
    <col min="1020" max="1020" width="9.66371681415929" style="63" customWidth="1"/>
    <col min="1021" max="1021" width="11.1681415929204" style="63" customWidth="1"/>
    <col min="1022" max="1022" width="10.6637168141593" style="63" customWidth="1"/>
    <col min="1023" max="1023" width="11.1681415929204" style="63" customWidth="1"/>
    <col min="1024" max="1024" width="10.1681415929204" style="63" customWidth="1"/>
    <col min="1025" max="1025" width="7.66371681415929" style="63" customWidth="1"/>
    <col min="1026" max="1271" width="9.16814159292035" style="63" customWidth="1"/>
    <col min="1272" max="1272" width="25.1681415929204" style="63" customWidth="1"/>
    <col min="1273" max="1273" width="19.1681415929204" style="63" customWidth="1"/>
    <col min="1274" max="1274" width="58.6637168141593" style="63" customWidth="1"/>
    <col min="1275" max="1275" width="10" style="63" customWidth="1"/>
    <col min="1276" max="1276" width="9.66371681415929" style="63" customWidth="1"/>
    <col min="1277" max="1277" width="11.1681415929204" style="63" customWidth="1"/>
    <col min="1278" max="1278" width="10.6637168141593" style="63" customWidth="1"/>
    <col min="1279" max="1279" width="11.1681415929204" style="63" customWidth="1"/>
    <col min="1280" max="1280" width="10.1681415929204" style="63" customWidth="1"/>
    <col min="1281" max="1281" width="7.66371681415929" style="63" customWidth="1"/>
    <col min="1282" max="1527" width="9.16814159292035" style="63" customWidth="1"/>
    <col min="1528" max="1528" width="25.1681415929204" style="63" customWidth="1"/>
    <col min="1529" max="1529" width="19.1681415929204" style="63" customWidth="1"/>
    <col min="1530" max="1530" width="58.6637168141593" style="63" customWidth="1"/>
    <col min="1531" max="1531" width="10" style="63" customWidth="1"/>
    <col min="1532" max="1532" width="9.66371681415929" style="63" customWidth="1"/>
    <col min="1533" max="1533" width="11.1681415929204" style="63" customWidth="1"/>
    <col min="1534" max="1534" width="10.6637168141593" style="63" customWidth="1"/>
    <col min="1535" max="1535" width="11.1681415929204" style="63" customWidth="1"/>
    <col min="1536" max="1536" width="10.1681415929204" style="63" customWidth="1"/>
    <col min="1537" max="1537" width="7.66371681415929" style="63" customWidth="1"/>
    <col min="1538" max="1783" width="9.16814159292035" style="63" customWidth="1"/>
    <col min="1784" max="1784" width="25.1681415929204" style="63" customWidth="1"/>
    <col min="1785" max="1785" width="19.1681415929204" style="63" customWidth="1"/>
    <col min="1786" max="1786" width="58.6637168141593" style="63" customWidth="1"/>
    <col min="1787" max="1787" width="10" style="63" customWidth="1"/>
    <col min="1788" max="1788" width="9.66371681415929" style="63" customWidth="1"/>
    <col min="1789" max="1789" width="11.1681415929204" style="63" customWidth="1"/>
    <col min="1790" max="1790" width="10.6637168141593" style="63" customWidth="1"/>
    <col min="1791" max="1791" width="11.1681415929204" style="63" customWidth="1"/>
    <col min="1792" max="1792" width="10.1681415929204" style="63" customWidth="1"/>
    <col min="1793" max="1793" width="7.66371681415929" style="63" customWidth="1"/>
    <col min="1794" max="2039" width="9.16814159292035" style="63" customWidth="1"/>
    <col min="2040" max="2040" width="25.1681415929204" style="63" customWidth="1"/>
    <col min="2041" max="2041" width="19.1681415929204" style="63" customWidth="1"/>
    <col min="2042" max="2042" width="58.6637168141593" style="63" customWidth="1"/>
    <col min="2043" max="2043" width="10" style="63" customWidth="1"/>
    <col min="2044" max="2044" width="9.66371681415929" style="63" customWidth="1"/>
    <col min="2045" max="2045" width="11.1681415929204" style="63" customWidth="1"/>
    <col min="2046" max="2046" width="10.6637168141593" style="63" customWidth="1"/>
    <col min="2047" max="2047" width="11.1681415929204" style="63" customWidth="1"/>
    <col min="2048" max="2048" width="10.1681415929204" style="63" customWidth="1"/>
    <col min="2049" max="2049" width="7.66371681415929" style="63" customWidth="1"/>
    <col min="2050" max="2295" width="9.16814159292035" style="63" customWidth="1"/>
    <col min="2296" max="2296" width="25.1681415929204" style="63" customWidth="1"/>
    <col min="2297" max="2297" width="19.1681415929204" style="63" customWidth="1"/>
    <col min="2298" max="2298" width="58.6637168141593" style="63" customWidth="1"/>
    <col min="2299" max="2299" width="10" style="63" customWidth="1"/>
    <col min="2300" max="2300" width="9.66371681415929" style="63" customWidth="1"/>
    <col min="2301" max="2301" width="11.1681415929204" style="63" customWidth="1"/>
    <col min="2302" max="2302" width="10.6637168141593" style="63" customWidth="1"/>
    <col min="2303" max="2303" width="11.1681415929204" style="63" customWidth="1"/>
    <col min="2304" max="2304" width="10.1681415929204" style="63" customWidth="1"/>
    <col min="2305" max="2305" width="7.66371681415929" style="63" customWidth="1"/>
    <col min="2306" max="2551" width="9.16814159292035" style="63" customWidth="1"/>
    <col min="2552" max="2552" width="25.1681415929204" style="63" customWidth="1"/>
    <col min="2553" max="2553" width="19.1681415929204" style="63" customWidth="1"/>
    <col min="2554" max="2554" width="58.6637168141593" style="63" customWidth="1"/>
    <col min="2555" max="2555" width="10" style="63" customWidth="1"/>
    <col min="2556" max="2556" width="9.66371681415929" style="63" customWidth="1"/>
    <col min="2557" max="2557" width="11.1681415929204" style="63" customWidth="1"/>
    <col min="2558" max="2558" width="10.6637168141593" style="63" customWidth="1"/>
    <col min="2559" max="2559" width="11.1681415929204" style="63" customWidth="1"/>
    <col min="2560" max="2560" width="10.1681415929204" style="63" customWidth="1"/>
    <col min="2561" max="2561" width="7.66371681415929" style="63" customWidth="1"/>
    <col min="2562" max="2807" width="9.16814159292035" style="63" customWidth="1"/>
    <col min="2808" max="2808" width="25.1681415929204" style="63" customWidth="1"/>
    <col min="2809" max="2809" width="19.1681415929204" style="63" customWidth="1"/>
    <col min="2810" max="2810" width="58.6637168141593" style="63" customWidth="1"/>
    <col min="2811" max="2811" width="10" style="63" customWidth="1"/>
    <col min="2812" max="2812" width="9.66371681415929" style="63" customWidth="1"/>
    <col min="2813" max="2813" width="11.1681415929204" style="63" customWidth="1"/>
    <col min="2814" max="2814" width="10.6637168141593" style="63" customWidth="1"/>
    <col min="2815" max="2815" width="11.1681415929204" style="63" customWidth="1"/>
    <col min="2816" max="2816" width="10.1681415929204" style="63" customWidth="1"/>
    <col min="2817" max="2817" width="7.66371681415929" style="63" customWidth="1"/>
    <col min="2818" max="3063" width="9.16814159292035" style="63" customWidth="1"/>
    <col min="3064" max="3064" width="25.1681415929204" style="63" customWidth="1"/>
    <col min="3065" max="3065" width="19.1681415929204" style="63" customWidth="1"/>
    <col min="3066" max="3066" width="58.6637168141593" style="63" customWidth="1"/>
    <col min="3067" max="3067" width="10" style="63" customWidth="1"/>
    <col min="3068" max="3068" width="9.66371681415929" style="63" customWidth="1"/>
    <col min="3069" max="3069" width="11.1681415929204" style="63" customWidth="1"/>
    <col min="3070" max="3070" width="10.6637168141593" style="63" customWidth="1"/>
    <col min="3071" max="3071" width="11.1681415929204" style="63" customWidth="1"/>
    <col min="3072" max="3072" width="10.1681415929204" style="63" customWidth="1"/>
    <col min="3073" max="3073" width="7.66371681415929" style="63" customWidth="1"/>
    <col min="3074" max="3319" width="9.16814159292035" style="63" customWidth="1"/>
    <col min="3320" max="3320" width="25.1681415929204" style="63" customWidth="1"/>
    <col min="3321" max="3321" width="19.1681415929204" style="63" customWidth="1"/>
    <col min="3322" max="3322" width="58.6637168141593" style="63" customWidth="1"/>
    <col min="3323" max="3323" width="10" style="63" customWidth="1"/>
    <col min="3324" max="3324" width="9.66371681415929" style="63" customWidth="1"/>
    <col min="3325" max="3325" width="11.1681415929204" style="63" customWidth="1"/>
    <col min="3326" max="3326" width="10.6637168141593" style="63" customWidth="1"/>
    <col min="3327" max="3327" width="11.1681415929204" style="63" customWidth="1"/>
    <col min="3328" max="3328" width="10.1681415929204" style="63" customWidth="1"/>
    <col min="3329" max="3329" width="7.66371681415929" style="63" customWidth="1"/>
    <col min="3330" max="3575" width="9.16814159292035" style="63" customWidth="1"/>
    <col min="3576" max="3576" width="25.1681415929204" style="63" customWidth="1"/>
    <col min="3577" max="3577" width="19.1681415929204" style="63" customWidth="1"/>
    <col min="3578" max="3578" width="58.6637168141593" style="63" customWidth="1"/>
    <col min="3579" max="3579" width="10" style="63" customWidth="1"/>
    <col min="3580" max="3580" width="9.66371681415929" style="63" customWidth="1"/>
    <col min="3581" max="3581" width="11.1681415929204" style="63" customWidth="1"/>
    <col min="3582" max="3582" width="10.6637168141593" style="63" customWidth="1"/>
    <col min="3583" max="3583" width="11.1681415929204" style="63" customWidth="1"/>
    <col min="3584" max="3584" width="10.1681415929204" style="63" customWidth="1"/>
    <col min="3585" max="3585" width="7.66371681415929" style="63" customWidth="1"/>
    <col min="3586" max="3831" width="9.16814159292035" style="63" customWidth="1"/>
    <col min="3832" max="3832" width="25.1681415929204" style="63" customWidth="1"/>
    <col min="3833" max="3833" width="19.1681415929204" style="63" customWidth="1"/>
    <col min="3834" max="3834" width="58.6637168141593" style="63" customWidth="1"/>
    <col min="3835" max="3835" width="10" style="63" customWidth="1"/>
    <col min="3836" max="3836" width="9.66371681415929" style="63" customWidth="1"/>
    <col min="3837" max="3837" width="11.1681415929204" style="63" customWidth="1"/>
    <col min="3838" max="3838" width="10.6637168141593" style="63" customWidth="1"/>
    <col min="3839" max="3839" width="11.1681415929204" style="63" customWidth="1"/>
    <col min="3840" max="3840" width="10.1681415929204" style="63" customWidth="1"/>
    <col min="3841" max="3841" width="7.66371681415929" style="63" customWidth="1"/>
    <col min="3842" max="4087" width="9.16814159292035" style="63" customWidth="1"/>
    <col min="4088" max="4088" width="25.1681415929204" style="63" customWidth="1"/>
    <col min="4089" max="4089" width="19.1681415929204" style="63" customWidth="1"/>
    <col min="4090" max="4090" width="58.6637168141593" style="63" customWidth="1"/>
    <col min="4091" max="4091" width="10" style="63" customWidth="1"/>
    <col min="4092" max="4092" width="9.66371681415929" style="63" customWidth="1"/>
    <col min="4093" max="4093" width="11.1681415929204" style="63" customWidth="1"/>
    <col min="4094" max="4094" width="10.6637168141593" style="63" customWidth="1"/>
    <col min="4095" max="4095" width="11.1681415929204" style="63" customWidth="1"/>
    <col min="4096" max="4096" width="10.1681415929204" style="63" customWidth="1"/>
    <col min="4097" max="4097" width="7.66371681415929" style="63" customWidth="1"/>
    <col min="4098" max="4343" width="9.16814159292035" style="63" customWidth="1"/>
    <col min="4344" max="4344" width="25.1681415929204" style="63" customWidth="1"/>
    <col min="4345" max="4345" width="19.1681415929204" style="63" customWidth="1"/>
    <col min="4346" max="4346" width="58.6637168141593" style="63" customWidth="1"/>
    <col min="4347" max="4347" width="10" style="63" customWidth="1"/>
    <col min="4348" max="4348" width="9.66371681415929" style="63" customWidth="1"/>
    <col min="4349" max="4349" width="11.1681415929204" style="63" customWidth="1"/>
    <col min="4350" max="4350" width="10.6637168141593" style="63" customWidth="1"/>
    <col min="4351" max="4351" width="11.1681415929204" style="63" customWidth="1"/>
    <col min="4352" max="4352" width="10.1681415929204" style="63" customWidth="1"/>
    <col min="4353" max="4353" width="7.66371681415929" style="63" customWidth="1"/>
    <col min="4354" max="4599" width="9.16814159292035" style="63" customWidth="1"/>
    <col min="4600" max="4600" width="25.1681415929204" style="63" customWidth="1"/>
    <col min="4601" max="4601" width="19.1681415929204" style="63" customWidth="1"/>
    <col min="4602" max="4602" width="58.6637168141593" style="63" customWidth="1"/>
    <col min="4603" max="4603" width="10" style="63" customWidth="1"/>
    <col min="4604" max="4604" width="9.66371681415929" style="63" customWidth="1"/>
    <col min="4605" max="4605" width="11.1681415929204" style="63" customWidth="1"/>
    <col min="4606" max="4606" width="10.6637168141593" style="63" customWidth="1"/>
    <col min="4607" max="4607" width="11.1681415929204" style="63" customWidth="1"/>
    <col min="4608" max="4608" width="10.1681415929204" style="63" customWidth="1"/>
    <col min="4609" max="4609" width="7.66371681415929" style="63" customWidth="1"/>
    <col min="4610" max="4855" width="9.16814159292035" style="63" customWidth="1"/>
    <col min="4856" max="4856" width="25.1681415929204" style="63" customWidth="1"/>
    <col min="4857" max="4857" width="19.1681415929204" style="63" customWidth="1"/>
    <col min="4858" max="4858" width="58.6637168141593" style="63" customWidth="1"/>
    <col min="4859" max="4859" width="10" style="63" customWidth="1"/>
    <col min="4860" max="4860" width="9.66371681415929" style="63" customWidth="1"/>
    <col min="4861" max="4861" width="11.1681415929204" style="63" customWidth="1"/>
    <col min="4862" max="4862" width="10.6637168141593" style="63" customWidth="1"/>
    <col min="4863" max="4863" width="11.1681415929204" style="63" customWidth="1"/>
    <col min="4864" max="4864" width="10.1681415929204" style="63" customWidth="1"/>
    <col min="4865" max="4865" width="7.66371681415929" style="63" customWidth="1"/>
    <col min="4866" max="5111" width="9.16814159292035" style="63" customWidth="1"/>
    <col min="5112" max="5112" width="25.1681415929204" style="63" customWidth="1"/>
    <col min="5113" max="5113" width="19.1681415929204" style="63" customWidth="1"/>
    <col min="5114" max="5114" width="58.6637168141593" style="63" customWidth="1"/>
    <col min="5115" max="5115" width="10" style="63" customWidth="1"/>
    <col min="5116" max="5116" width="9.66371681415929" style="63" customWidth="1"/>
    <col min="5117" max="5117" width="11.1681415929204" style="63" customWidth="1"/>
    <col min="5118" max="5118" width="10.6637168141593" style="63" customWidth="1"/>
    <col min="5119" max="5119" width="11.1681415929204" style="63" customWidth="1"/>
    <col min="5120" max="5120" width="10.1681415929204" style="63" customWidth="1"/>
    <col min="5121" max="5121" width="7.66371681415929" style="63" customWidth="1"/>
    <col min="5122" max="5367" width="9.16814159292035" style="63" customWidth="1"/>
    <col min="5368" max="5368" width="25.1681415929204" style="63" customWidth="1"/>
    <col min="5369" max="5369" width="19.1681415929204" style="63" customWidth="1"/>
    <col min="5370" max="5370" width="58.6637168141593" style="63" customWidth="1"/>
    <col min="5371" max="5371" width="10" style="63" customWidth="1"/>
    <col min="5372" max="5372" width="9.66371681415929" style="63" customWidth="1"/>
    <col min="5373" max="5373" width="11.1681415929204" style="63" customWidth="1"/>
    <col min="5374" max="5374" width="10.6637168141593" style="63" customWidth="1"/>
    <col min="5375" max="5375" width="11.1681415929204" style="63" customWidth="1"/>
    <col min="5376" max="5376" width="10.1681415929204" style="63" customWidth="1"/>
    <col min="5377" max="5377" width="7.66371681415929" style="63" customWidth="1"/>
    <col min="5378" max="5623" width="9.16814159292035" style="63" customWidth="1"/>
    <col min="5624" max="5624" width="25.1681415929204" style="63" customWidth="1"/>
    <col min="5625" max="5625" width="19.1681415929204" style="63" customWidth="1"/>
    <col min="5626" max="5626" width="58.6637168141593" style="63" customWidth="1"/>
    <col min="5627" max="5627" width="10" style="63" customWidth="1"/>
    <col min="5628" max="5628" width="9.66371681415929" style="63" customWidth="1"/>
    <col min="5629" max="5629" width="11.1681415929204" style="63" customWidth="1"/>
    <col min="5630" max="5630" width="10.6637168141593" style="63" customWidth="1"/>
    <col min="5631" max="5631" width="11.1681415929204" style="63" customWidth="1"/>
    <col min="5632" max="5632" width="10.1681415929204" style="63" customWidth="1"/>
    <col min="5633" max="5633" width="7.66371681415929" style="63" customWidth="1"/>
    <col min="5634" max="5879" width="9.16814159292035" style="63" customWidth="1"/>
    <col min="5880" max="5880" width="25.1681415929204" style="63" customWidth="1"/>
    <col min="5881" max="5881" width="19.1681415929204" style="63" customWidth="1"/>
    <col min="5882" max="5882" width="58.6637168141593" style="63" customWidth="1"/>
    <col min="5883" max="5883" width="10" style="63" customWidth="1"/>
    <col min="5884" max="5884" width="9.66371681415929" style="63" customWidth="1"/>
    <col min="5885" max="5885" width="11.1681415929204" style="63" customWidth="1"/>
    <col min="5886" max="5886" width="10.6637168141593" style="63" customWidth="1"/>
    <col min="5887" max="5887" width="11.1681415929204" style="63" customWidth="1"/>
    <col min="5888" max="5888" width="10.1681415929204" style="63" customWidth="1"/>
    <col min="5889" max="5889" width="7.66371681415929" style="63" customWidth="1"/>
    <col min="5890" max="6135" width="9.16814159292035" style="63" customWidth="1"/>
    <col min="6136" max="6136" width="25.1681415929204" style="63" customWidth="1"/>
    <col min="6137" max="6137" width="19.1681415929204" style="63" customWidth="1"/>
    <col min="6138" max="6138" width="58.6637168141593" style="63" customWidth="1"/>
    <col min="6139" max="6139" width="10" style="63" customWidth="1"/>
    <col min="6140" max="6140" width="9.66371681415929" style="63" customWidth="1"/>
    <col min="6141" max="6141" width="11.1681415929204" style="63" customWidth="1"/>
    <col min="6142" max="6142" width="10.6637168141593" style="63" customWidth="1"/>
    <col min="6143" max="6143" width="11.1681415929204" style="63" customWidth="1"/>
    <col min="6144" max="6144" width="10.1681415929204" style="63" customWidth="1"/>
    <col min="6145" max="6145" width="7.66371681415929" style="63" customWidth="1"/>
    <col min="6146" max="6391" width="9.16814159292035" style="63" customWidth="1"/>
    <col min="6392" max="6392" width="25.1681415929204" style="63" customWidth="1"/>
    <col min="6393" max="6393" width="19.1681415929204" style="63" customWidth="1"/>
    <col min="6394" max="6394" width="58.6637168141593" style="63" customWidth="1"/>
    <col min="6395" max="6395" width="10" style="63" customWidth="1"/>
    <col min="6396" max="6396" width="9.66371681415929" style="63" customWidth="1"/>
    <col min="6397" max="6397" width="11.1681415929204" style="63" customWidth="1"/>
    <col min="6398" max="6398" width="10.6637168141593" style="63" customWidth="1"/>
    <col min="6399" max="6399" width="11.1681415929204" style="63" customWidth="1"/>
    <col min="6400" max="6400" width="10.1681415929204" style="63" customWidth="1"/>
    <col min="6401" max="6401" width="7.66371681415929" style="63" customWidth="1"/>
    <col min="6402" max="6647" width="9.16814159292035" style="63" customWidth="1"/>
    <col min="6648" max="6648" width="25.1681415929204" style="63" customWidth="1"/>
    <col min="6649" max="6649" width="19.1681415929204" style="63" customWidth="1"/>
    <col min="6650" max="6650" width="58.6637168141593" style="63" customWidth="1"/>
    <col min="6651" max="6651" width="10" style="63" customWidth="1"/>
    <col min="6652" max="6652" width="9.66371681415929" style="63" customWidth="1"/>
    <col min="6653" max="6653" width="11.1681415929204" style="63" customWidth="1"/>
    <col min="6654" max="6654" width="10.6637168141593" style="63" customWidth="1"/>
    <col min="6655" max="6655" width="11.1681415929204" style="63" customWidth="1"/>
    <col min="6656" max="6656" width="10.1681415929204" style="63" customWidth="1"/>
    <col min="6657" max="6657" width="7.66371681415929" style="63" customWidth="1"/>
    <col min="6658" max="6903" width="9.16814159292035" style="63" customWidth="1"/>
    <col min="6904" max="6904" width="25.1681415929204" style="63" customWidth="1"/>
    <col min="6905" max="6905" width="19.1681415929204" style="63" customWidth="1"/>
    <col min="6906" max="6906" width="58.6637168141593" style="63" customWidth="1"/>
    <col min="6907" max="6907" width="10" style="63" customWidth="1"/>
    <col min="6908" max="6908" width="9.66371681415929" style="63" customWidth="1"/>
    <col min="6909" max="6909" width="11.1681415929204" style="63" customWidth="1"/>
    <col min="6910" max="6910" width="10.6637168141593" style="63" customWidth="1"/>
    <col min="6911" max="6911" width="11.1681415929204" style="63" customWidth="1"/>
    <col min="6912" max="6912" width="10.1681415929204" style="63" customWidth="1"/>
    <col min="6913" max="6913" width="7.66371681415929" style="63" customWidth="1"/>
    <col min="6914" max="7159" width="9.16814159292035" style="63" customWidth="1"/>
    <col min="7160" max="7160" width="25.1681415929204" style="63" customWidth="1"/>
    <col min="7161" max="7161" width="19.1681415929204" style="63" customWidth="1"/>
    <col min="7162" max="7162" width="58.6637168141593" style="63" customWidth="1"/>
    <col min="7163" max="7163" width="10" style="63" customWidth="1"/>
    <col min="7164" max="7164" width="9.66371681415929" style="63" customWidth="1"/>
    <col min="7165" max="7165" width="11.1681415929204" style="63" customWidth="1"/>
    <col min="7166" max="7166" width="10.6637168141593" style="63" customWidth="1"/>
    <col min="7167" max="7167" width="11.1681415929204" style="63" customWidth="1"/>
    <col min="7168" max="7168" width="10.1681415929204" style="63" customWidth="1"/>
    <col min="7169" max="7169" width="7.66371681415929" style="63" customWidth="1"/>
    <col min="7170" max="7415" width="9.16814159292035" style="63" customWidth="1"/>
    <col min="7416" max="7416" width="25.1681415929204" style="63" customWidth="1"/>
    <col min="7417" max="7417" width="19.1681415929204" style="63" customWidth="1"/>
    <col min="7418" max="7418" width="58.6637168141593" style="63" customWidth="1"/>
    <col min="7419" max="7419" width="10" style="63" customWidth="1"/>
    <col min="7420" max="7420" width="9.66371681415929" style="63" customWidth="1"/>
    <col min="7421" max="7421" width="11.1681415929204" style="63" customWidth="1"/>
    <col min="7422" max="7422" width="10.6637168141593" style="63" customWidth="1"/>
    <col min="7423" max="7423" width="11.1681415929204" style="63" customWidth="1"/>
    <col min="7424" max="7424" width="10.1681415929204" style="63" customWidth="1"/>
    <col min="7425" max="7425" width="7.66371681415929" style="63" customWidth="1"/>
    <col min="7426" max="7671" width="9.16814159292035" style="63" customWidth="1"/>
    <col min="7672" max="7672" width="25.1681415929204" style="63" customWidth="1"/>
    <col min="7673" max="7673" width="19.1681415929204" style="63" customWidth="1"/>
    <col min="7674" max="7674" width="58.6637168141593" style="63" customWidth="1"/>
    <col min="7675" max="7675" width="10" style="63" customWidth="1"/>
    <col min="7676" max="7676" width="9.66371681415929" style="63" customWidth="1"/>
    <col min="7677" max="7677" width="11.1681415929204" style="63" customWidth="1"/>
    <col min="7678" max="7678" width="10.6637168141593" style="63" customWidth="1"/>
    <col min="7679" max="7679" width="11.1681415929204" style="63" customWidth="1"/>
    <col min="7680" max="7680" width="10.1681415929204" style="63" customWidth="1"/>
    <col min="7681" max="7681" width="7.66371681415929" style="63" customWidth="1"/>
    <col min="7682" max="7927" width="9.16814159292035" style="63" customWidth="1"/>
    <col min="7928" max="7928" width="25.1681415929204" style="63" customWidth="1"/>
    <col min="7929" max="7929" width="19.1681415929204" style="63" customWidth="1"/>
    <col min="7930" max="7930" width="58.6637168141593" style="63" customWidth="1"/>
    <col min="7931" max="7931" width="10" style="63" customWidth="1"/>
    <col min="7932" max="7932" width="9.66371681415929" style="63" customWidth="1"/>
    <col min="7933" max="7933" width="11.1681415929204" style="63" customWidth="1"/>
    <col min="7934" max="7934" width="10.6637168141593" style="63" customWidth="1"/>
    <col min="7935" max="7935" width="11.1681415929204" style="63" customWidth="1"/>
    <col min="7936" max="7936" width="10.1681415929204" style="63" customWidth="1"/>
    <col min="7937" max="7937" width="7.66371681415929" style="63" customWidth="1"/>
    <col min="7938" max="8183" width="9.16814159292035" style="63" customWidth="1"/>
    <col min="8184" max="8184" width="25.1681415929204" style="63" customWidth="1"/>
    <col min="8185" max="8185" width="19.1681415929204" style="63" customWidth="1"/>
    <col min="8186" max="8186" width="58.6637168141593" style="63" customWidth="1"/>
    <col min="8187" max="8187" width="10" style="63" customWidth="1"/>
    <col min="8188" max="8188" width="9.66371681415929" style="63" customWidth="1"/>
    <col min="8189" max="8189" width="11.1681415929204" style="63" customWidth="1"/>
    <col min="8190" max="8190" width="10.6637168141593" style="63" customWidth="1"/>
    <col min="8191" max="8191" width="11.1681415929204" style="63" customWidth="1"/>
    <col min="8192" max="8192" width="10.1681415929204" style="63" customWidth="1"/>
    <col min="8193" max="8193" width="7.66371681415929" style="63" customWidth="1"/>
    <col min="8194" max="8439" width="9.16814159292035" style="63" customWidth="1"/>
    <col min="8440" max="8440" width="25.1681415929204" style="63" customWidth="1"/>
    <col min="8441" max="8441" width="19.1681415929204" style="63" customWidth="1"/>
    <col min="8442" max="8442" width="58.6637168141593" style="63" customWidth="1"/>
    <col min="8443" max="8443" width="10" style="63" customWidth="1"/>
    <col min="8444" max="8444" width="9.66371681415929" style="63" customWidth="1"/>
    <col min="8445" max="8445" width="11.1681415929204" style="63" customWidth="1"/>
    <col min="8446" max="8446" width="10.6637168141593" style="63" customWidth="1"/>
    <col min="8447" max="8447" width="11.1681415929204" style="63" customWidth="1"/>
    <col min="8448" max="8448" width="10.1681415929204" style="63" customWidth="1"/>
    <col min="8449" max="8449" width="7.66371681415929" style="63" customWidth="1"/>
    <col min="8450" max="8695" width="9.16814159292035" style="63" customWidth="1"/>
    <col min="8696" max="8696" width="25.1681415929204" style="63" customWidth="1"/>
    <col min="8697" max="8697" width="19.1681415929204" style="63" customWidth="1"/>
    <col min="8698" max="8698" width="58.6637168141593" style="63" customWidth="1"/>
    <col min="8699" max="8699" width="10" style="63" customWidth="1"/>
    <col min="8700" max="8700" width="9.66371681415929" style="63" customWidth="1"/>
    <col min="8701" max="8701" width="11.1681415929204" style="63" customWidth="1"/>
    <col min="8702" max="8702" width="10.6637168141593" style="63" customWidth="1"/>
    <col min="8703" max="8703" width="11.1681415929204" style="63" customWidth="1"/>
    <col min="8704" max="8704" width="10.1681415929204" style="63" customWidth="1"/>
    <col min="8705" max="8705" width="7.66371681415929" style="63" customWidth="1"/>
    <col min="8706" max="8951" width="9.16814159292035" style="63" customWidth="1"/>
    <col min="8952" max="8952" width="25.1681415929204" style="63" customWidth="1"/>
    <col min="8953" max="8953" width="19.1681415929204" style="63" customWidth="1"/>
    <col min="8954" max="8954" width="58.6637168141593" style="63" customWidth="1"/>
    <col min="8955" max="8955" width="10" style="63" customWidth="1"/>
    <col min="8956" max="8956" width="9.66371681415929" style="63" customWidth="1"/>
    <col min="8957" max="8957" width="11.1681415929204" style="63" customWidth="1"/>
    <col min="8958" max="8958" width="10.6637168141593" style="63" customWidth="1"/>
    <col min="8959" max="8959" width="11.1681415929204" style="63" customWidth="1"/>
    <col min="8960" max="8960" width="10.1681415929204" style="63" customWidth="1"/>
    <col min="8961" max="8961" width="7.66371681415929" style="63" customWidth="1"/>
    <col min="8962" max="9207" width="9.16814159292035" style="63" customWidth="1"/>
    <col min="9208" max="9208" width="25.1681415929204" style="63" customWidth="1"/>
    <col min="9209" max="9209" width="19.1681415929204" style="63" customWidth="1"/>
    <col min="9210" max="9210" width="58.6637168141593" style="63" customWidth="1"/>
    <col min="9211" max="9211" width="10" style="63" customWidth="1"/>
    <col min="9212" max="9212" width="9.66371681415929" style="63" customWidth="1"/>
    <col min="9213" max="9213" width="11.1681415929204" style="63" customWidth="1"/>
    <col min="9214" max="9214" width="10.6637168141593" style="63" customWidth="1"/>
    <col min="9215" max="9215" width="11.1681415929204" style="63" customWidth="1"/>
    <col min="9216" max="9216" width="10.1681415929204" style="63" customWidth="1"/>
    <col min="9217" max="9217" width="7.66371681415929" style="63" customWidth="1"/>
    <col min="9218" max="9463" width="9.16814159292035" style="63" customWidth="1"/>
    <col min="9464" max="9464" width="25.1681415929204" style="63" customWidth="1"/>
    <col min="9465" max="9465" width="19.1681415929204" style="63" customWidth="1"/>
    <col min="9466" max="9466" width="58.6637168141593" style="63" customWidth="1"/>
    <col min="9467" max="9467" width="10" style="63" customWidth="1"/>
    <col min="9468" max="9468" width="9.66371681415929" style="63" customWidth="1"/>
    <col min="9469" max="9469" width="11.1681415929204" style="63" customWidth="1"/>
    <col min="9470" max="9470" width="10.6637168141593" style="63" customWidth="1"/>
    <col min="9471" max="9471" width="11.1681415929204" style="63" customWidth="1"/>
    <col min="9472" max="9472" width="10.1681415929204" style="63" customWidth="1"/>
    <col min="9473" max="9473" width="7.66371681415929" style="63" customWidth="1"/>
    <col min="9474" max="9719" width="9.16814159292035" style="63" customWidth="1"/>
    <col min="9720" max="9720" width="25.1681415929204" style="63" customWidth="1"/>
    <col min="9721" max="9721" width="19.1681415929204" style="63" customWidth="1"/>
    <col min="9722" max="9722" width="58.6637168141593" style="63" customWidth="1"/>
    <col min="9723" max="9723" width="10" style="63" customWidth="1"/>
    <col min="9724" max="9724" width="9.66371681415929" style="63" customWidth="1"/>
    <col min="9725" max="9725" width="11.1681415929204" style="63" customWidth="1"/>
    <col min="9726" max="9726" width="10.6637168141593" style="63" customWidth="1"/>
    <col min="9727" max="9727" width="11.1681415929204" style="63" customWidth="1"/>
    <col min="9728" max="9728" width="10.1681415929204" style="63" customWidth="1"/>
    <col min="9729" max="9729" width="7.66371681415929" style="63" customWidth="1"/>
    <col min="9730" max="9975" width="9.16814159292035" style="63" customWidth="1"/>
    <col min="9976" max="9976" width="25.1681415929204" style="63" customWidth="1"/>
    <col min="9977" max="9977" width="19.1681415929204" style="63" customWidth="1"/>
    <col min="9978" max="9978" width="58.6637168141593" style="63" customWidth="1"/>
    <col min="9979" max="9979" width="10" style="63" customWidth="1"/>
    <col min="9980" max="9980" width="9.66371681415929" style="63" customWidth="1"/>
    <col min="9981" max="9981" width="11.1681415929204" style="63" customWidth="1"/>
    <col min="9982" max="9982" width="10.6637168141593" style="63" customWidth="1"/>
    <col min="9983" max="9983" width="11.1681415929204" style="63" customWidth="1"/>
    <col min="9984" max="9984" width="10.1681415929204" style="63" customWidth="1"/>
    <col min="9985" max="9985" width="7.66371681415929" style="63" customWidth="1"/>
    <col min="9986" max="10231" width="9.16814159292035" style="63" customWidth="1"/>
    <col min="10232" max="10232" width="25.1681415929204" style="63" customWidth="1"/>
    <col min="10233" max="10233" width="19.1681415929204" style="63" customWidth="1"/>
    <col min="10234" max="10234" width="58.6637168141593" style="63" customWidth="1"/>
    <col min="10235" max="10235" width="10" style="63" customWidth="1"/>
    <col min="10236" max="10236" width="9.66371681415929" style="63" customWidth="1"/>
    <col min="10237" max="10237" width="11.1681415929204" style="63" customWidth="1"/>
    <col min="10238" max="10238" width="10.6637168141593" style="63" customWidth="1"/>
    <col min="10239" max="10239" width="11.1681415929204" style="63" customWidth="1"/>
    <col min="10240" max="10240" width="10.1681415929204" style="63" customWidth="1"/>
    <col min="10241" max="10241" width="7.66371681415929" style="63" customWidth="1"/>
    <col min="10242" max="10487" width="9.16814159292035" style="63" customWidth="1"/>
    <col min="10488" max="10488" width="25.1681415929204" style="63" customWidth="1"/>
    <col min="10489" max="10489" width="19.1681415929204" style="63" customWidth="1"/>
    <col min="10490" max="10490" width="58.6637168141593" style="63" customWidth="1"/>
    <col min="10491" max="10491" width="10" style="63" customWidth="1"/>
    <col min="10492" max="10492" width="9.66371681415929" style="63" customWidth="1"/>
    <col min="10493" max="10493" width="11.1681415929204" style="63" customWidth="1"/>
    <col min="10494" max="10494" width="10.6637168141593" style="63" customWidth="1"/>
    <col min="10495" max="10495" width="11.1681415929204" style="63" customWidth="1"/>
    <col min="10496" max="10496" width="10.1681415929204" style="63" customWidth="1"/>
    <col min="10497" max="10497" width="7.66371681415929" style="63" customWidth="1"/>
    <col min="10498" max="10743" width="9.16814159292035" style="63" customWidth="1"/>
    <col min="10744" max="10744" width="25.1681415929204" style="63" customWidth="1"/>
    <col min="10745" max="10745" width="19.1681415929204" style="63" customWidth="1"/>
    <col min="10746" max="10746" width="58.6637168141593" style="63" customWidth="1"/>
    <col min="10747" max="10747" width="10" style="63" customWidth="1"/>
    <col min="10748" max="10748" width="9.66371681415929" style="63" customWidth="1"/>
    <col min="10749" max="10749" width="11.1681415929204" style="63" customWidth="1"/>
    <col min="10750" max="10750" width="10.6637168141593" style="63" customWidth="1"/>
    <col min="10751" max="10751" width="11.1681415929204" style="63" customWidth="1"/>
    <col min="10752" max="10752" width="10.1681415929204" style="63" customWidth="1"/>
    <col min="10753" max="10753" width="7.66371681415929" style="63" customWidth="1"/>
    <col min="10754" max="10999" width="9.16814159292035" style="63" customWidth="1"/>
    <col min="11000" max="11000" width="25.1681415929204" style="63" customWidth="1"/>
    <col min="11001" max="11001" width="19.1681415929204" style="63" customWidth="1"/>
    <col min="11002" max="11002" width="58.6637168141593" style="63" customWidth="1"/>
    <col min="11003" max="11003" width="10" style="63" customWidth="1"/>
    <col min="11004" max="11004" width="9.66371681415929" style="63" customWidth="1"/>
    <col min="11005" max="11005" width="11.1681415929204" style="63" customWidth="1"/>
    <col min="11006" max="11006" width="10.6637168141593" style="63" customWidth="1"/>
    <col min="11007" max="11007" width="11.1681415929204" style="63" customWidth="1"/>
    <col min="11008" max="11008" width="10.1681415929204" style="63" customWidth="1"/>
    <col min="11009" max="11009" width="7.66371681415929" style="63" customWidth="1"/>
    <col min="11010" max="11255" width="9.16814159292035" style="63" customWidth="1"/>
    <col min="11256" max="11256" width="25.1681415929204" style="63" customWidth="1"/>
    <col min="11257" max="11257" width="19.1681415929204" style="63" customWidth="1"/>
    <col min="11258" max="11258" width="58.6637168141593" style="63" customWidth="1"/>
    <col min="11259" max="11259" width="10" style="63" customWidth="1"/>
    <col min="11260" max="11260" width="9.66371681415929" style="63" customWidth="1"/>
    <col min="11261" max="11261" width="11.1681415929204" style="63" customWidth="1"/>
    <col min="11262" max="11262" width="10.6637168141593" style="63" customWidth="1"/>
    <col min="11263" max="11263" width="11.1681415929204" style="63" customWidth="1"/>
    <col min="11264" max="11264" width="10.1681415929204" style="63" customWidth="1"/>
    <col min="11265" max="11265" width="7.66371681415929" style="63" customWidth="1"/>
    <col min="11266" max="11511" width="9.16814159292035" style="63" customWidth="1"/>
    <col min="11512" max="11512" width="25.1681415929204" style="63" customWidth="1"/>
    <col min="11513" max="11513" width="19.1681415929204" style="63" customWidth="1"/>
    <col min="11514" max="11514" width="58.6637168141593" style="63" customWidth="1"/>
    <col min="11515" max="11515" width="10" style="63" customWidth="1"/>
    <col min="11516" max="11516" width="9.66371681415929" style="63" customWidth="1"/>
    <col min="11517" max="11517" width="11.1681415929204" style="63" customWidth="1"/>
    <col min="11518" max="11518" width="10.6637168141593" style="63" customWidth="1"/>
    <col min="11519" max="11519" width="11.1681415929204" style="63" customWidth="1"/>
    <col min="11520" max="11520" width="10.1681415929204" style="63" customWidth="1"/>
    <col min="11521" max="11521" width="7.66371681415929" style="63" customWidth="1"/>
    <col min="11522" max="11767" width="9.16814159292035" style="63" customWidth="1"/>
    <col min="11768" max="11768" width="25.1681415929204" style="63" customWidth="1"/>
    <col min="11769" max="11769" width="19.1681415929204" style="63" customWidth="1"/>
    <col min="11770" max="11770" width="58.6637168141593" style="63" customWidth="1"/>
    <col min="11771" max="11771" width="10" style="63" customWidth="1"/>
    <col min="11772" max="11772" width="9.66371681415929" style="63" customWidth="1"/>
    <col min="11773" max="11773" width="11.1681415929204" style="63" customWidth="1"/>
    <col min="11774" max="11774" width="10.6637168141593" style="63" customWidth="1"/>
    <col min="11775" max="11775" width="11.1681415929204" style="63" customWidth="1"/>
    <col min="11776" max="11776" width="10.1681415929204" style="63" customWidth="1"/>
    <col min="11777" max="11777" width="7.66371681415929" style="63" customWidth="1"/>
    <col min="11778" max="12023" width="9.16814159292035" style="63" customWidth="1"/>
    <col min="12024" max="12024" width="25.1681415929204" style="63" customWidth="1"/>
    <col min="12025" max="12025" width="19.1681415929204" style="63" customWidth="1"/>
    <col min="12026" max="12026" width="58.6637168141593" style="63" customWidth="1"/>
    <col min="12027" max="12027" width="10" style="63" customWidth="1"/>
    <col min="12028" max="12028" width="9.66371681415929" style="63" customWidth="1"/>
    <col min="12029" max="12029" width="11.1681415929204" style="63" customWidth="1"/>
    <col min="12030" max="12030" width="10.6637168141593" style="63" customWidth="1"/>
    <col min="12031" max="12031" width="11.1681415929204" style="63" customWidth="1"/>
    <col min="12032" max="12032" width="10.1681415929204" style="63" customWidth="1"/>
    <col min="12033" max="12033" width="7.66371681415929" style="63" customWidth="1"/>
    <col min="12034" max="12279" width="9.16814159292035" style="63" customWidth="1"/>
    <col min="12280" max="12280" width="25.1681415929204" style="63" customWidth="1"/>
    <col min="12281" max="12281" width="19.1681415929204" style="63" customWidth="1"/>
    <col min="12282" max="12282" width="58.6637168141593" style="63" customWidth="1"/>
    <col min="12283" max="12283" width="10" style="63" customWidth="1"/>
    <col min="12284" max="12284" width="9.66371681415929" style="63" customWidth="1"/>
    <col min="12285" max="12285" width="11.1681415929204" style="63" customWidth="1"/>
    <col min="12286" max="12286" width="10.6637168141593" style="63" customWidth="1"/>
    <col min="12287" max="12287" width="11.1681415929204" style="63" customWidth="1"/>
    <col min="12288" max="12288" width="10.1681415929204" style="63" customWidth="1"/>
    <col min="12289" max="12289" width="7.66371681415929" style="63" customWidth="1"/>
    <col min="12290" max="12535" width="9.16814159292035" style="63" customWidth="1"/>
    <col min="12536" max="12536" width="25.1681415929204" style="63" customWidth="1"/>
    <col min="12537" max="12537" width="19.1681415929204" style="63" customWidth="1"/>
    <col min="12538" max="12538" width="58.6637168141593" style="63" customWidth="1"/>
    <col min="12539" max="12539" width="10" style="63" customWidth="1"/>
    <col min="12540" max="12540" width="9.66371681415929" style="63" customWidth="1"/>
    <col min="12541" max="12541" width="11.1681415929204" style="63" customWidth="1"/>
    <col min="12542" max="12542" width="10.6637168141593" style="63" customWidth="1"/>
    <col min="12543" max="12543" width="11.1681415929204" style="63" customWidth="1"/>
    <col min="12544" max="12544" width="10.1681415929204" style="63" customWidth="1"/>
    <col min="12545" max="12545" width="7.66371681415929" style="63" customWidth="1"/>
    <col min="12546" max="12791" width="9.16814159292035" style="63" customWidth="1"/>
    <col min="12792" max="12792" width="25.1681415929204" style="63" customWidth="1"/>
    <col min="12793" max="12793" width="19.1681415929204" style="63" customWidth="1"/>
    <col min="12794" max="12794" width="58.6637168141593" style="63" customWidth="1"/>
    <col min="12795" max="12795" width="10" style="63" customWidth="1"/>
    <col min="12796" max="12796" width="9.66371681415929" style="63" customWidth="1"/>
    <col min="12797" max="12797" width="11.1681415929204" style="63" customWidth="1"/>
    <col min="12798" max="12798" width="10.6637168141593" style="63" customWidth="1"/>
    <col min="12799" max="12799" width="11.1681415929204" style="63" customWidth="1"/>
    <col min="12800" max="12800" width="10.1681415929204" style="63" customWidth="1"/>
    <col min="12801" max="12801" width="7.66371681415929" style="63" customWidth="1"/>
    <col min="12802" max="13047" width="9.16814159292035" style="63" customWidth="1"/>
    <col min="13048" max="13048" width="25.1681415929204" style="63" customWidth="1"/>
    <col min="13049" max="13049" width="19.1681415929204" style="63" customWidth="1"/>
    <col min="13050" max="13050" width="58.6637168141593" style="63" customWidth="1"/>
    <col min="13051" max="13051" width="10" style="63" customWidth="1"/>
    <col min="13052" max="13052" width="9.66371681415929" style="63" customWidth="1"/>
    <col min="13053" max="13053" width="11.1681415929204" style="63" customWidth="1"/>
    <col min="13054" max="13054" width="10.6637168141593" style="63" customWidth="1"/>
    <col min="13055" max="13055" width="11.1681415929204" style="63" customWidth="1"/>
    <col min="13056" max="13056" width="10.1681415929204" style="63" customWidth="1"/>
    <col min="13057" max="13057" width="7.66371681415929" style="63" customWidth="1"/>
    <col min="13058" max="13303" width="9.16814159292035" style="63" customWidth="1"/>
    <col min="13304" max="13304" width="25.1681415929204" style="63" customWidth="1"/>
    <col min="13305" max="13305" width="19.1681415929204" style="63" customWidth="1"/>
    <col min="13306" max="13306" width="58.6637168141593" style="63" customWidth="1"/>
    <col min="13307" max="13307" width="10" style="63" customWidth="1"/>
    <col min="13308" max="13308" width="9.66371681415929" style="63" customWidth="1"/>
    <col min="13309" max="13309" width="11.1681415929204" style="63" customWidth="1"/>
    <col min="13310" max="13310" width="10.6637168141593" style="63" customWidth="1"/>
    <col min="13311" max="13311" width="11.1681415929204" style="63" customWidth="1"/>
    <col min="13312" max="13312" width="10.1681415929204" style="63" customWidth="1"/>
    <col min="13313" max="13313" width="7.66371681415929" style="63" customWidth="1"/>
    <col min="13314" max="13559" width="9.16814159292035" style="63" customWidth="1"/>
    <col min="13560" max="13560" width="25.1681415929204" style="63" customWidth="1"/>
    <col min="13561" max="13561" width="19.1681415929204" style="63" customWidth="1"/>
    <col min="13562" max="13562" width="58.6637168141593" style="63" customWidth="1"/>
    <col min="13563" max="13563" width="10" style="63" customWidth="1"/>
    <col min="13564" max="13564" width="9.66371681415929" style="63" customWidth="1"/>
    <col min="13565" max="13565" width="11.1681415929204" style="63" customWidth="1"/>
    <col min="13566" max="13566" width="10.6637168141593" style="63" customWidth="1"/>
    <col min="13567" max="13567" width="11.1681415929204" style="63" customWidth="1"/>
    <col min="13568" max="13568" width="10.1681415929204" style="63" customWidth="1"/>
    <col min="13569" max="13569" width="7.66371681415929" style="63" customWidth="1"/>
    <col min="13570" max="13815" width="9.16814159292035" style="63" customWidth="1"/>
    <col min="13816" max="13816" width="25.1681415929204" style="63" customWidth="1"/>
    <col min="13817" max="13817" width="19.1681415929204" style="63" customWidth="1"/>
    <col min="13818" max="13818" width="58.6637168141593" style="63" customWidth="1"/>
    <col min="13819" max="13819" width="10" style="63" customWidth="1"/>
    <col min="13820" max="13820" width="9.66371681415929" style="63" customWidth="1"/>
    <col min="13821" max="13821" width="11.1681415929204" style="63" customWidth="1"/>
    <col min="13822" max="13822" width="10.6637168141593" style="63" customWidth="1"/>
    <col min="13823" max="13823" width="11.1681415929204" style="63" customWidth="1"/>
    <col min="13824" max="13824" width="10.1681415929204" style="63" customWidth="1"/>
    <col min="13825" max="13825" width="7.66371681415929" style="63" customWidth="1"/>
    <col min="13826" max="14071" width="9.16814159292035" style="63" customWidth="1"/>
    <col min="14072" max="14072" width="25.1681415929204" style="63" customWidth="1"/>
    <col min="14073" max="14073" width="19.1681415929204" style="63" customWidth="1"/>
    <col min="14074" max="14074" width="58.6637168141593" style="63" customWidth="1"/>
    <col min="14075" max="14075" width="10" style="63" customWidth="1"/>
    <col min="14076" max="14076" width="9.66371681415929" style="63" customWidth="1"/>
    <col min="14077" max="14077" width="11.1681415929204" style="63" customWidth="1"/>
    <col min="14078" max="14078" width="10.6637168141593" style="63" customWidth="1"/>
    <col min="14079" max="14079" width="11.1681415929204" style="63" customWidth="1"/>
    <col min="14080" max="14080" width="10.1681415929204" style="63" customWidth="1"/>
    <col min="14081" max="14081" width="7.66371681415929" style="63" customWidth="1"/>
    <col min="14082" max="14327" width="9.16814159292035" style="63" customWidth="1"/>
    <col min="14328" max="14328" width="25.1681415929204" style="63" customWidth="1"/>
    <col min="14329" max="14329" width="19.1681415929204" style="63" customWidth="1"/>
    <col min="14330" max="14330" width="58.6637168141593" style="63" customWidth="1"/>
    <col min="14331" max="14331" width="10" style="63" customWidth="1"/>
    <col min="14332" max="14332" width="9.66371681415929" style="63" customWidth="1"/>
    <col min="14333" max="14333" width="11.1681415929204" style="63" customWidth="1"/>
    <col min="14334" max="14334" width="10.6637168141593" style="63" customWidth="1"/>
    <col min="14335" max="14335" width="11.1681415929204" style="63" customWidth="1"/>
    <col min="14336" max="14336" width="10.1681415929204" style="63" customWidth="1"/>
    <col min="14337" max="14337" width="7.66371681415929" style="63" customWidth="1"/>
    <col min="14338" max="14583" width="9.16814159292035" style="63" customWidth="1"/>
    <col min="14584" max="14584" width="25.1681415929204" style="63" customWidth="1"/>
    <col min="14585" max="14585" width="19.1681415929204" style="63" customWidth="1"/>
    <col min="14586" max="14586" width="58.6637168141593" style="63" customWidth="1"/>
    <col min="14587" max="14587" width="10" style="63" customWidth="1"/>
    <col min="14588" max="14588" width="9.66371681415929" style="63" customWidth="1"/>
    <col min="14589" max="14589" width="11.1681415929204" style="63" customWidth="1"/>
    <col min="14590" max="14590" width="10.6637168141593" style="63" customWidth="1"/>
    <col min="14591" max="14591" width="11.1681415929204" style="63" customWidth="1"/>
    <col min="14592" max="14592" width="10.1681415929204" style="63" customWidth="1"/>
    <col min="14593" max="14593" width="7.66371681415929" style="63" customWidth="1"/>
    <col min="14594" max="14839" width="9.16814159292035" style="63" customWidth="1"/>
    <col min="14840" max="14840" width="25.1681415929204" style="63" customWidth="1"/>
    <col min="14841" max="14841" width="19.1681415929204" style="63" customWidth="1"/>
    <col min="14842" max="14842" width="58.6637168141593" style="63" customWidth="1"/>
    <col min="14843" max="14843" width="10" style="63" customWidth="1"/>
    <col min="14844" max="14844" width="9.66371681415929" style="63" customWidth="1"/>
    <col min="14845" max="14845" width="11.1681415929204" style="63" customWidth="1"/>
    <col min="14846" max="14846" width="10.6637168141593" style="63" customWidth="1"/>
    <col min="14847" max="14847" width="11.1681415929204" style="63" customWidth="1"/>
    <col min="14848" max="14848" width="10.1681415929204" style="63" customWidth="1"/>
    <col min="14849" max="14849" width="7.66371681415929" style="63" customWidth="1"/>
    <col min="14850" max="15095" width="9.16814159292035" style="63" customWidth="1"/>
    <col min="15096" max="15096" width="25.1681415929204" style="63" customWidth="1"/>
    <col min="15097" max="15097" width="19.1681415929204" style="63" customWidth="1"/>
    <col min="15098" max="15098" width="58.6637168141593" style="63" customWidth="1"/>
    <col min="15099" max="15099" width="10" style="63" customWidth="1"/>
    <col min="15100" max="15100" width="9.66371681415929" style="63" customWidth="1"/>
    <col min="15101" max="15101" width="11.1681415929204" style="63" customWidth="1"/>
    <col min="15102" max="15102" width="10.6637168141593" style="63" customWidth="1"/>
    <col min="15103" max="15103" width="11.1681415929204" style="63" customWidth="1"/>
    <col min="15104" max="15104" width="10.1681415929204" style="63" customWidth="1"/>
    <col min="15105" max="15105" width="7.66371681415929" style="63" customWidth="1"/>
    <col min="15106" max="15351" width="9.16814159292035" style="63" customWidth="1"/>
    <col min="15352" max="15352" width="25.1681415929204" style="63" customWidth="1"/>
    <col min="15353" max="15353" width="19.1681415929204" style="63" customWidth="1"/>
    <col min="15354" max="15354" width="58.6637168141593" style="63" customWidth="1"/>
    <col min="15355" max="15355" width="10" style="63" customWidth="1"/>
    <col min="15356" max="15356" width="9.66371681415929" style="63" customWidth="1"/>
    <col min="15357" max="15357" width="11.1681415929204" style="63" customWidth="1"/>
    <col min="15358" max="15358" width="10.6637168141593" style="63" customWidth="1"/>
    <col min="15359" max="15359" width="11.1681415929204" style="63" customWidth="1"/>
    <col min="15360" max="15360" width="10.1681415929204" style="63" customWidth="1"/>
    <col min="15361" max="15361" width="7.66371681415929" style="63" customWidth="1"/>
    <col min="15362" max="15607" width="9.16814159292035" style="63" customWidth="1"/>
    <col min="15608" max="15608" width="25.1681415929204" style="63" customWidth="1"/>
    <col min="15609" max="15609" width="19.1681415929204" style="63" customWidth="1"/>
    <col min="15610" max="15610" width="58.6637168141593" style="63" customWidth="1"/>
    <col min="15611" max="15611" width="10" style="63" customWidth="1"/>
    <col min="15612" max="15612" width="9.66371681415929" style="63" customWidth="1"/>
    <col min="15613" max="15613" width="11.1681415929204" style="63" customWidth="1"/>
    <col min="15614" max="15614" width="10.6637168141593" style="63" customWidth="1"/>
    <col min="15615" max="15615" width="11.1681415929204" style="63" customWidth="1"/>
    <col min="15616" max="15616" width="10.1681415929204" style="63" customWidth="1"/>
    <col min="15617" max="15617" width="7.66371681415929" style="63" customWidth="1"/>
    <col min="15618" max="15863" width="9.16814159292035" style="63" customWidth="1"/>
    <col min="15864" max="15864" width="25.1681415929204" style="63" customWidth="1"/>
    <col min="15865" max="15865" width="19.1681415929204" style="63" customWidth="1"/>
    <col min="15866" max="15866" width="58.6637168141593" style="63" customWidth="1"/>
    <col min="15867" max="15867" width="10" style="63" customWidth="1"/>
    <col min="15868" max="15868" width="9.66371681415929" style="63" customWidth="1"/>
    <col min="15869" max="15869" width="11.1681415929204" style="63" customWidth="1"/>
    <col min="15870" max="15870" width="10.6637168141593" style="63" customWidth="1"/>
    <col min="15871" max="15871" width="11.1681415929204" style="63" customWidth="1"/>
    <col min="15872" max="15872" width="10.1681415929204" style="63" customWidth="1"/>
    <col min="15873" max="15873" width="7.66371681415929" style="63" customWidth="1"/>
    <col min="15874" max="16119" width="9.16814159292035" style="63" customWidth="1"/>
    <col min="16120" max="16120" width="25.1681415929204" style="63" customWidth="1"/>
    <col min="16121" max="16121" width="19.1681415929204" style="63" customWidth="1"/>
    <col min="16122" max="16122" width="58.6637168141593" style="63" customWidth="1"/>
    <col min="16123" max="16123" width="10" style="63" customWidth="1"/>
    <col min="16124" max="16124" width="9.66371681415929" style="63" customWidth="1"/>
    <col min="16125" max="16125" width="11.1681415929204" style="63" customWidth="1"/>
    <col min="16126" max="16126" width="10.6637168141593" style="63" customWidth="1"/>
    <col min="16127" max="16127" width="11.1681415929204" style="63" customWidth="1"/>
    <col min="16128" max="16128" width="10.1681415929204" style="63" customWidth="1"/>
    <col min="16129" max="16129" width="7.66371681415929" style="63" customWidth="1"/>
    <col min="16130" max="16376" width="9.16814159292035" style="63" customWidth="1"/>
    <col min="16377" max="16379" width="8.66371681415929" style="63" customWidth="1"/>
    <col min="16380" max="16384" width="8.66371681415929" style="63"/>
  </cols>
  <sheetData>
    <row r="1" ht="14" customHeight="1" spans="1:247">
      <c r="A1" s="91" t="s">
        <v>50</v>
      </c>
      <c r="B1" s="91" t="s">
        <v>51</v>
      </c>
      <c r="C1" s="91" t="s">
        <v>52</v>
      </c>
      <c r="D1" s="91" t="s">
        <v>53</v>
      </c>
      <c r="E1" s="217" t="s">
        <v>57</v>
      </c>
      <c r="F1" s="217" t="s">
        <v>58</v>
      </c>
      <c r="G1" s="217" t="s">
        <v>59</v>
      </c>
      <c r="H1" s="218" t="s">
        <v>60</v>
      </c>
    </row>
    <row r="2" ht="45" customHeight="1" spans="1:247">
      <c r="A2" s="219" t="s">
        <v>1172</v>
      </c>
      <c r="B2" s="72" t="s">
        <v>37</v>
      </c>
      <c r="C2" s="85" t="s">
        <v>1173</v>
      </c>
      <c r="D2" s="87" t="s">
        <v>1174</v>
      </c>
      <c r="E2" s="72">
        <v>6530.16</v>
      </c>
      <c r="F2" s="240"/>
      <c r="G2" s="72"/>
      <c r="H2" s="221"/>
      <c r="I2" s="241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</row>
    <row r="3" ht="45" customHeight="1" spans="1:247">
      <c r="A3" s="219" t="s">
        <v>1175</v>
      </c>
      <c r="B3" s="72" t="s">
        <v>36</v>
      </c>
      <c r="C3" s="85" t="s">
        <v>1176</v>
      </c>
      <c r="D3" s="87" t="s">
        <v>1177</v>
      </c>
      <c r="E3" s="72">
        <v>11396.385</v>
      </c>
      <c r="F3" s="240"/>
      <c r="G3" s="72"/>
      <c r="H3" s="221"/>
      <c r="I3" s="241"/>
    </row>
    <row r="4" ht="45" customHeight="1" spans="1:247">
      <c r="A4" s="219" t="s">
        <v>1172</v>
      </c>
      <c r="B4" s="72" t="s">
        <v>37</v>
      </c>
      <c r="C4" s="85" t="s">
        <v>1178</v>
      </c>
      <c r="D4" s="87" t="s">
        <v>1179</v>
      </c>
      <c r="E4" s="72">
        <v>12244.05</v>
      </c>
      <c r="F4" s="240"/>
      <c r="G4" s="72"/>
      <c r="H4" s="222"/>
      <c r="I4" s="241"/>
    </row>
    <row r="5" ht="45" customHeight="1" spans="1:247">
      <c r="A5" s="219" t="s">
        <v>1172</v>
      </c>
      <c r="B5" s="72" t="s">
        <v>37</v>
      </c>
      <c r="C5" s="85" t="s">
        <v>1180</v>
      </c>
      <c r="D5" s="87" t="s">
        <v>1181</v>
      </c>
      <c r="E5" s="72">
        <v>22792.77</v>
      </c>
      <c r="F5" s="240"/>
      <c r="G5" s="72"/>
      <c r="H5" s="72"/>
      <c r="I5" s="241"/>
    </row>
    <row r="6" ht="45" customHeight="1" spans="1:247">
      <c r="A6" s="219" t="s">
        <v>1175</v>
      </c>
      <c r="B6" s="72" t="s">
        <v>36</v>
      </c>
      <c r="C6" s="85" t="s">
        <v>1182</v>
      </c>
      <c r="D6" s="87" t="s">
        <v>1183</v>
      </c>
      <c r="E6" s="72">
        <v>19935.825</v>
      </c>
      <c r="F6" s="206"/>
      <c r="G6" s="72"/>
      <c r="H6" s="72"/>
      <c r="I6" s="241"/>
    </row>
    <row r="7" ht="45" customHeight="1" spans="1:247">
      <c r="A7" s="219" t="s">
        <v>1175</v>
      </c>
      <c r="B7" s="72" t="s">
        <v>36</v>
      </c>
      <c r="C7" s="85" t="s">
        <v>1184</v>
      </c>
      <c r="D7" s="87" t="s">
        <v>1185</v>
      </c>
      <c r="E7" s="72">
        <v>31363.605</v>
      </c>
      <c r="F7" s="206"/>
      <c r="G7" s="72"/>
      <c r="H7" s="72"/>
      <c r="I7" s="241"/>
    </row>
    <row r="8" ht="45" customHeight="1" spans="1:247">
      <c r="A8" s="219" t="s">
        <v>1186</v>
      </c>
      <c r="B8" s="72" t="s">
        <v>37</v>
      </c>
      <c r="C8" s="85" t="s">
        <v>1187</v>
      </c>
      <c r="D8" s="87" t="s">
        <v>1188</v>
      </c>
      <c r="E8" s="72">
        <v>20092.8</v>
      </c>
      <c r="F8" s="240"/>
      <c r="G8" s="72"/>
      <c r="H8" s="221"/>
      <c r="I8" s="241"/>
    </row>
    <row r="9" ht="60" customHeight="1" spans="1:247">
      <c r="A9" s="219" t="s">
        <v>1189</v>
      </c>
      <c r="B9" s="72" t="s">
        <v>37</v>
      </c>
      <c r="C9" s="85" t="s">
        <v>1190</v>
      </c>
      <c r="D9" s="87" t="s">
        <v>1191</v>
      </c>
      <c r="E9" s="72">
        <v>32871.8208</v>
      </c>
      <c r="F9" s="240"/>
      <c r="G9" s="72"/>
      <c r="H9" s="221"/>
      <c r="I9" s="241"/>
    </row>
    <row r="10" ht="45" customHeight="1" spans="1:247">
      <c r="A10" s="219" t="s">
        <v>1186</v>
      </c>
      <c r="B10" s="72" t="s">
        <v>37</v>
      </c>
      <c r="C10" s="85" t="s">
        <v>1192</v>
      </c>
      <c r="D10" s="87" t="s">
        <v>1193</v>
      </c>
      <c r="E10" s="72">
        <v>36167.04</v>
      </c>
      <c r="F10" s="240"/>
      <c r="G10" s="72"/>
      <c r="H10" s="221"/>
      <c r="I10" s="241"/>
    </row>
    <row r="11" ht="60" customHeight="1" spans="1:247">
      <c r="A11" s="219" t="s">
        <v>1189</v>
      </c>
      <c r="B11" s="72" t="s">
        <v>36</v>
      </c>
      <c r="C11" s="85" t="s">
        <v>1194</v>
      </c>
      <c r="D11" s="87" t="s">
        <v>1195</v>
      </c>
      <c r="E11" s="72">
        <v>62086.752</v>
      </c>
      <c r="F11" s="240"/>
      <c r="G11" s="72"/>
      <c r="H11" s="221"/>
      <c r="I11" s="241"/>
    </row>
    <row r="12" ht="60" customHeight="1" spans="1:247">
      <c r="A12" s="219" t="s">
        <v>1189</v>
      </c>
      <c r="B12" s="72" t="s">
        <v>36</v>
      </c>
      <c r="C12" s="85" t="s">
        <v>1196</v>
      </c>
      <c r="D12" s="87" t="s">
        <v>1197</v>
      </c>
      <c r="E12" s="72">
        <v>58470.048</v>
      </c>
      <c r="F12" s="240"/>
      <c r="G12" s="72"/>
      <c r="H12" s="221"/>
      <c r="I12" s="241"/>
    </row>
    <row r="13" ht="60" customHeight="1" spans="1:247">
      <c r="A13" s="219" t="s">
        <v>1189</v>
      </c>
      <c r="B13" s="72" t="s">
        <v>36</v>
      </c>
      <c r="C13" s="85" t="s">
        <v>1198</v>
      </c>
      <c r="D13" s="87" t="s">
        <v>1199</v>
      </c>
      <c r="E13" s="72">
        <v>80371.2</v>
      </c>
      <c r="F13" s="240"/>
      <c r="G13" s="72"/>
      <c r="H13" s="221"/>
      <c r="I13" s="241"/>
    </row>
    <row r="14" ht="30" customHeight="1" spans="1:247">
      <c r="A14" s="219" t="s">
        <v>1186</v>
      </c>
      <c r="B14" s="72" t="s">
        <v>37</v>
      </c>
      <c r="C14" s="85" t="s">
        <v>1200</v>
      </c>
      <c r="D14" s="87" t="s">
        <v>1201</v>
      </c>
      <c r="E14" s="72">
        <v>69607.2</v>
      </c>
      <c r="F14" s="240"/>
      <c r="G14" s="72"/>
      <c r="H14" s="221"/>
      <c r="I14" s="241"/>
    </row>
    <row r="15" ht="30" customHeight="1" spans="1:247">
      <c r="A15" s="219" t="s">
        <v>1186</v>
      </c>
      <c r="B15" s="72" t="s">
        <v>37</v>
      </c>
      <c r="C15" s="85" t="s">
        <v>1202</v>
      </c>
      <c r="D15" s="87" t="s">
        <v>1203</v>
      </c>
      <c r="E15" s="72">
        <v>104410.8</v>
      </c>
      <c r="F15" s="240"/>
      <c r="G15" s="72"/>
      <c r="H15" s="221"/>
      <c r="I15" s="241"/>
    </row>
    <row r="16" ht="60" customHeight="1" spans="1:247">
      <c r="A16" s="219" t="s">
        <v>1186</v>
      </c>
      <c r="B16" s="72" t="s">
        <v>37</v>
      </c>
      <c r="C16" s="85" t="s">
        <v>1204</v>
      </c>
      <c r="D16" s="87" t="s">
        <v>1205</v>
      </c>
      <c r="E16" s="72">
        <v>62086</v>
      </c>
      <c r="F16" s="240"/>
      <c r="G16" s="72"/>
      <c r="H16" s="242"/>
      <c r="I16" s="241"/>
    </row>
    <row r="17" ht="30" customHeight="1" spans="1:8">
      <c r="A17" s="219" t="s">
        <v>1206</v>
      </c>
      <c r="B17" s="72" t="s">
        <v>25</v>
      </c>
      <c r="C17" s="243" t="s">
        <v>885</v>
      </c>
      <c r="D17" s="87" t="s">
        <v>1207</v>
      </c>
      <c r="E17" s="72">
        <v>32068</v>
      </c>
      <c r="F17" s="240"/>
      <c r="G17" s="72"/>
      <c r="H17" s="238"/>
    </row>
    <row r="18" ht="27" customHeight="1" spans="1:8">
      <c r="A18" s="219" t="s">
        <v>1208</v>
      </c>
      <c r="B18" s="72" t="s">
        <v>44</v>
      </c>
      <c r="C18" s="85" t="s">
        <v>1209</v>
      </c>
      <c r="D18" s="87" t="s">
        <v>1210</v>
      </c>
      <c r="E18" s="72">
        <v>22724</v>
      </c>
      <c r="F18" s="240"/>
      <c r="G18" s="72"/>
      <c r="H18" s="244" t="s">
        <v>1211</v>
      </c>
    </row>
    <row r="19" ht="30" customHeight="1" spans="1:8">
      <c r="A19" s="219" t="s">
        <v>1212</v>
      </c>
      <c r="B19" s="72" t="s">
        <v>48</v>
      </c>
      <c r="C19" s="85" t="s">
        <v>1213</v>
      </c>
      <c r="D19" s="87" t="s">
        <v>1214</v>
      </c>
      <c r="E19" s="72">
        <v>0</v>
      </c>
      <c r="F19" s="240"/>
      <c r="G19" s="72"/>
      <c r="H19" s="244" t="s">
        <v>1215</v>
      </c>
    </row>
    <row r="20" ht="15" customHeight="1" spans="1:8">
      <c r="A20" s="219" t="s">
        <v>1212</v>
      </c>
      <c r="B20" s="72" t="s">
        <v>48</v>
      </c>
      <c r="C20" s="85" t="s">
        <v>906</v>
      </c>
      <c r="D20" s="87" t="s">
        <v>1216</v>
      </c>
      <c r="E20" s="72">
        <v>2588</v>
      </c>
      <c r="F20" s="240"/>
      <c r="G20" s="72"/>
      <c r="H20" s="245"/>
    </row>
    <row r="21" ht="15" customHeight="1" spans="1:8">
      <c r="A21" s="219" t="s">
        <v>1212</v>
      </c>
      <c r="B21" s="72" t="s">
        <v>48</v>
      </c>
      <c r="C21" s="85" t="s">
        <v>908</v>
      </c>
      <c r="D21" s="87" t="s">
        <v>1217</v>
      </c>
      <c r="E21" s="72">
        <v>3450</v>
      </c>
      <c r="F21" s="240"/>
      <c r="G21" s="72"/>
      <c r="H21" s="245"/>
    </row>
    <row r="22" ht="15" customHeight="1" spans="1:8">
      <c r="A22" s="219" t="s">
        <v>1212</v>
      </c>
      <c r="B22" s="72" t="s">
        <v>48</v>
      </c>
      <c r="C22" s="85" t="s">
        <v>1218</v>
      </c>
      <c r="D22" s="87" t="s">
        <v>1219</v>
      </c>
      <c r="E22" s="72">
        <v>3387.3</v>
      </c>
      <c r="F22" s="240"/>
      <c r="G22" s="72"/>
      <c r="H22" s="245"/>
    </row>
    <row r="23" ht="15" customHeight="1" spans="1:8">
      <c r="A23" s="219" t="s">
        <v>1208</v>
      </c>
      <c r="B23" s="72" t="s">
        <v>22</v>
      </c>
      <c r="C23" s="172" t="s">
        <v>1074</v>
      </c>
      <c r="D23" s="87" t="s">
        <v>1220</v>
      </c>
      <c r="E23" s="72">
        <v>529</v>
      </c>
      <c r="F23" s="240"/>
      <c r="G23" s="72"/>
      <c r="H23" s="201"/>
    </row>
    <row r="24" ht="15" customHeight="1" spans="1:8">
      <c r="A24" s="219" t="s">
        <v>1208</v>
      </c>
      <c r="B24" s="72" t="s">
        <v>22</v>
      </c>
      <c r="C24" s="172" t="s">
        <v>1078</v>
      </c>
      <c r="D24" s="87" t="s">
        <v>1221</v>
      </c>
      <c r="E24" s="72">
        <v>529</v>
      </c>
      <c r="F24" s="240"/>
      <c r="G24" s="72"/>
      <c r="H24" s="201"/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7"/>
  <sheetViews>
    <sheetView workbookViewId="0">
      <selection activeCell="T25" sqref="T25"/>
    </sheetView>
  </sheetViews>
  <sheetFormatPr defaultColWidth="9.16814159292035" defaultRowHeight="12.75" outlineLevelRow="6"/>
  <cols>
    <col min="1" max="2" width="18.1681415929204" style="227" customWidth="1"/>
    <col min="3" max="3" width="15.1681415929204" style="227" customWidth="1"/>
    <col min="4" max="4" width="66.1681415929203" style="228" customWidth="1"/>
    <col min="5" max="6" width="9.16814159292035" style="227" customWidth="1"/>
    <col min="7" max="7" width="12" style="227" customWidth="1"/>
    <col min="8" max="8" width="17.1681415929204" style="227" customWidth="1"/>
    <col min="9" max="9" width="12.1681415929204" style="227" customWidth="1"/>
    <col min="10" max="10" width="9.16814159292035" style="227" customWidth="1"/>
    <col min="11" max="11" width="20.1681415929204" style="227" customWidth="1"/>
    <col min="12" max="12" width="9.16814159292035" style="227" customWidth="1"/>
    <col min="13" max="16384" width="9.16814159292035" style="227"/>
  </cols>
  <sheetData>
    <row r="1" s="63" customFormat="1" ht="13.85" spans="1:11">
      <c r="A1" s="70" t="s">
        <v>50</v>
      </c>
      <c r="B1" s="70" t="s">
        <v>51</v>
      </c>
      <c r="C1" s="70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60</v>
      </c>
    </row>
    <row r="2" ht="59" customHeight="1" spans="1:11">
      <c r="A2" s="229" t="s">
        <v>1164</v>
      </c>
      <c r="B2" s="110" t="s">
        <v>49</v>
      </c>
      <c r="C2" s="230" t="s">
        <v>1222</v>
      </c>
      <c r="D2" s="231" t="s">
        <v>1223</v>
      </c>
      <c r="E2" s="230" t="s">
        <v>132</v>
      </c>
      <c r="F2" s="230">
        <v>1</v>
      </c>
      <c r="G2" s="230" t="s">
        <v>65</v>
      </c>
      <c r="H2" s="232">
        <v>39</v>
      </c>
      <c r="I2" s="233"/>
      <c r="J2" s="234"/>
      <c r="K2" s="100"/>
    </row>
    <row r="3" ht="41" customHeight="1" spans="1:11">
      <c r="A3" s="229" t="s">
        <v>1138</v>
      </c>
      <c r="B3" s="110" t="s">
        <v>49</v>
      </c>
      <c r="C3" s="230" t="s">
        <v>1224</v>
      </c>
      <c r="D3" s="231" t="s">
        <v>1225</v>
      </c>
      <c r="E3" s="230" t="s">
        <v>132</v>
      </c>
      <c r="F3" s="230">
        <v>1</v>
      </c>
      <c r="G3" s="230" t="s">
        <v>65</v>
      </c>
      <c r="H3" s="232">
        <v>21</v>
      </c>
      <c r="I3" s="233"/>
      <c r="J3" s="234"/>
      <c r="K3" s="100"/>
    </row>
    <row r="4" ht="59" customHeight="1" spans="1:11">
      <c r="A4" s="229" t="s">
        <v>1164</v>
      </c>
      <c r="B4" s="110" t="s">
        <v>49</v>
      </c>
      <c r="C4" s="235" t="s">
        <v>1226</v>
      </c>
      <c r="D4" s="231" t="s">
        <v>1227</v>
      </c>
      <c r="E4" s="235" t="s">
        <v>132</v>
      </c>
      <c r="F4" s="235">
        <v>0</v>
      </c>
      <c r="G4" s="235" t="s">
        <v>65</v>
      </c>
      <c r="H4" s="236">
        <v>461</v>
      </c>
      <c r="I4" s="233"/>
      <c r="J4" s="237"/>
      <c r="K4" s="238" t="s">
        <v>1149</v>
      </c>
    </row>
    <row r="5" ht="59" customHeight="1" spans="1:11">
      <c r="A5" s="229" t="s">
        <v>1164</v>
      </c>
      <c r="B5" s="110" t="s">
        <v>49</v>
      </c>
      <c r="C5" s="235" t="s">
        <v>1228</v>
      </c>
      <c r="D5" s="231" t="s">
        <v>1229</v>
      </c>
      <c r="E5" s="235" t="s">
        <v>132</v>
      </c>
      <c r="F5" s="235">
        <v>0</v>
      </c>
      <c r="G5" s="235" t="s">
        <v>65</v>
      </c>
      <c r="H5" s="236">
        <v>881</v>
      </c>
      <c r="I5" s="233"/>
      <c r="J5" s="237"/>
      <c r="K5" s="238"/>
    </row>
    <row r="6" ht="36.5" customHeight="1" spans="1:11">
      <c r="A6" s="229" t="s">
        <v>1138</v>
      </c>
      <c r="B6" s="110" t="s">
        <v>49</v>
      </c>
      <c r="C6" s="235" t="s">
        <v>1230</v>
      </c>
      <c r="D6" s="231" t="s">
        <v>1231</v>
      </c>
      <c r="E6" s="235" t="s">
        <v>132</v>
      </c>
      <c r="F6" s="235">
        <v>0</v>
      </c>
      <c r="G6" s="235" t="s">
        <v>65</v>
      </c>
      <c r="H6" s="236">
        <v>258</v>
      </c>
      <c r="I6" s="233"/>
      <c r="J6" s="237"/>
      <c r="K6" s="238"/>
    </row>
    <row r="7" ht="36.5" customHeight="1" spans="1:11">
      <c r="A7" s="229" t="s">
        <v>1138</v>
      </c>
      <c r="B7" s="110" t="s">
        <v>49</v>
      </c>
      <c r="C7" s="235" t="s">
        <v>1232</v>
      </c>
      <c r="D7" s="231" t="s">
        <v>1233</v>
      </c>
      <c r="E7" s="235" t="s">
        <v>132</v>
      </c>
      <c r="F7" s="235">
        <v>0</v>
      </c>
      <c r="G7" s="235" t="s">
        <v>65</v>
      </c>
      <c r="H7" s="236">
        <v>475</v>
      </c>
      <c r="I7" s="233"/>
      <c r="J7" s="237"/>
      <c r="K7" s="238"/>
    </row>
  </sheetData>
  <autoFilter xmlns:etc="http://www.wps.cn/officeDocument/2017/etCustomData" ref="A1:J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16"/>
  <sheetViews>
    <sheetView workbookViewId="0">
      <selection activeCell="I11" sqref="I11"/>
    </sheetView>
  </sheetViews>
  <sheetFormatPr defaultColWidth="8.66371681415929" defaultRowHeight="13.85"/>
  <cols>
    <col min="1" max="1" width="26.1681415929204" style="184" customWidth="1"/>
    <col min="2" max="2" width="16" style="184" customWidth="1"/>
    <col min="3" max="3" width="17.1681415929204" style="184" customWidth="1"/>
    <col min="4" max="4" width="84.6637168141593" style="214" customWidth="1"/>
    <col min="5" max="5" width="12.1681415929204" style="215" customWidth="1"/>
    <col min="6" max="6" width="10.1681415929204" style="216" customWidth="1"/>
    <col min="7" max="7" width="7.16814159292035" style="216" customWidth="1"/>
    <col min="8" max="8" width="20" style="63" customWidth="1"/>
    <col min="9" max="248" width="9.16814159292035" style="63" customWidth="1"/>
    <col min="249" max="249" width="25.1681415929204" style="63" customWidth="1"/>
    <col min="250" max="250" width="19.1681415929204" style="63" customWidth="1"/>
    <col min="251" max="251" width="58.6637168141593" style="63" customWidth="1"/>
    <col min="252" max="252" width="10" style="63" customWidth="1"/>
    <col min="253" max="253" width="9.66371681415929" style="63" customWidth="1"/>
    <col min="254" max="254" width="11.1681415929204" style="63" customWidth="1"/>
    <col min="255" max="255" width="10.6637168141593" style="63" customWidth="1"/>
    <col min="256" max="256" width="11.1681415929204" style="63" customWidth="1"/>
    <col min="257" max="257" width="10.1681415929204" style="63" customWidth="1"/>
    <col min="258" max="258" width="7.66371681415929" style="63" customWidth="1"/>
    <col min="259" max="504" width="9.16814159292035" style="63" customWidth="1"/>
    <col min="505" max="505" width="25.1681415929204" style="63" customWidth="1"/>
    <col min="506" max="506" width="19.1681415929204" style="63" customWidth="1"/>
    <col min="507" max="507" width="58.6637168141593" style="63" customWidth="1"/>
    <col min="508" max="508" width="10" style="63" customWidth="1"/>
    <col min="509" max="509" width="9.66371681415929" style="63" customWidth="1"/>
    <col min="510" max="510" width="11.1681415929204" style="63" customWidth="1"/>
    <col min="511" max="511" width="10.6637168141593" style="63" customWidth="1"/>
    <col min="512" max="512" width="11.1681415929204" style="63" customWidth="1"/>
    <col min="513" max="513" width="10.1681415929204" style="63" customWidth="1"/>
    <col min="514" max="514" width="7.66371681415929" style="63" customWidth="1"/>
    <col min="515" max="760" width="9.16814159292035" style="63" customWidth="1"/>
    <col min="761" max="761" width="25.1681415929204" style="63" customWidth="1"/>
    <col min="762" max="762" width="19.1681415929204" style="63" customWidth="1"/>
    <col min="763" max="763" width="58.6637168141593" style="63" customWidth="1"/>
    <col min="764" max="764" width="10" style="63" customWidth="1"/>
    <col min="765" max="765" width="9.66371681415929" style="63" customWidth="1"/>
    <col min="766" max="766" width="11.1681415929204" style="63" customWidth="1"/>
    <col min="767" max="767" width="10.6637168141593" style="63" customWidth="1"/>
    <col min="768" max="768" width="11.1681415929204" style="63" customWidth="1"/>
    <col min="769" max="769" width="10.1681415929204" style="63" customWidth="1"/>
    <col min="770" max="770" width="7.66371681415929" style="63" customWidth="1"/>
    <col min="771" max="1016" width="9.16814159292035" style="63" customWidth="1"/>
    <col min="1017" max="1017" width="25.1681415929204" style="63" customWidth="1"/>
    <col min="1018" max="1018" width="19.1681415929204" style="63" customWidth="1"/>
    <col min="1019" max="1019" width="58.6637168141593" style="63" customWidth="1"/>
    <col min="1020" max="1020" width="10" style="63" customWidth="1"/>
    <col min="1021" max="1021" width="9.66371681415929" style="63" customWidth="1"/>
    <col min="1022" max="1022" width="11.1681415929204" style="63" customWidth="1"/>
    <col min="1023" max="1023" width="10.6637168141593" style="63" customWidth="1"/>
    <col min="1024" max="1024" width="11.1681415929204" style="63" customWidth="1"/>
    <col min="1025" max="1025" width="10.1681415929204" style="63" customWidth="1"/>
    <col min="1026" max="1026" width="7.66371681415929" style="63" customWidth="1"/>
    <col min="1027" max="1272" width="9.16814159292035" style="63" customWidth="1"/>
    <col min="1273" max="1273" width="25.1681415929204" style="63" customWidth="1"/>
    <col min="1274" max="1274" width="19.1681415929204" style="63" customWidth="1"/>
    <col min="1275" max="1275" width="58.6637168141593" style="63" customWidth="1"/>
    <col min="1276" max="1276" width="10" style="63" customWidth="1"/>
    <col min="1277" max="1277" width="9.66371681415929" style="63" customWidth="1"/>
    <col min="1278" max="1278" width="11.1681415929204" style="63" customWidth="1"/>
    <col min="1279" max="1279" width="10.6637168141593" style="63" customWidth="1"/>
    <col min="1280" max="1280" width="11.1681415929204" style="63" customWidth="1"/>
    <col min="1281" max="1281" width="10.1681415929204" style="63" customWidth="1"/>
    <col min="1282" max="1282" width="7.66371681415929" style="63" customWidth="1"/>
    <col min="1283" max="1528" width="9.16814159292035" style="63" customWidth="1"/>
    <col min="1529" max="1529" width="25.1681415929204" style="63" customWidth="1"/>
    <col min="1530" max="1530" width="19.1681415929204" style="63" customWidth="1"/>
    <col min="1531" max="1531" width="58.6637168141593" style="63" customWidth="1"/>
    <col min="1532" max="1532" width="10" style="63" customWidth="1"/>
    <col min="1533" max="1533" width="9.66371681415929" style="63" customWidth="1"/>
    <col min="1534" max="1534" width="11.1681415929204" style="63" customWidth="1"/>
    <col min="1535" max="1535" width="10.6637168141593" style="63" customWidth="1"/>
    <col min="1536" max="1536" width="11.1681415929204" style="63" customWidth="1"/>
    <col min="1537" max="1537" width="10.1681415929204" style="63" customWidth="1"/>
    <col min="1538" max="1538" width="7.66371681415929" style="63" customWidth="1"/>
    <col min="1539" max="1784" width="9.16814159292035" style="63" customWidth="1"/>
    <col min="1785" max="1785" width="25.1681415929204" style="63" customWidth="1"/>
    <col min="1786" max="1786" width="19.1681415929204" style="63" customWidth="1"/>
    <col min="1787" max="1787" width="58.6637168141593" style="63" customWidth="1"/>
    <col min="1788" max="1788" width="10" style="63" customWidth="1"/>
    <col min="1789" max="1789" width="9.66371681415929" style="63" customWidth="1"/>
    <col min="1790" max="1790" width="11.1681415929204" style="63" customWidth="1"/>
    <col min="1791" max="1791" width="10.6637168141593" style="63" customWidth="1"/>
    <col min="1792" max="1792" width="11.1681415929204" style="63" customWidth="1"/>
    <col min="1793" max="1793" width="10.1681415929204" style="63" customWidth="1"/>
    <col min="1794" max="1794" width="7.66371681415929" style="63" customWidth="1"/>
    <col min="1795" max="2040" width="9.16814159292035" style="63" customWidth="1"/>
    <col min="2041" max="2041" width="25.1681415929204" style="63" customWidth="1"/>
    <col min="2042" max="2042" width="19.1681415929204" style="63" customWidth="1"/>
    <col min="2043" max="2043" width="58.6637168141593" style="63" customWidth="1"/>
    <col min="2044" max="2044" width="10" style="63" customWidth="1"/>
    <col min="2045" max="2045" width="9.66371681415929" style="63" customWidth="1"/>
    <col min="2046" max="2046" width="11.1681415929204" style="63" customWidth="1"/>
    <col min="2047" max="2047" width="10.6637168141593" style="63" customWidth="1"/>
    <col min="2048" max="2048" width="11.1681415929204" style="63" customWidth="1"/>
    <col min="2049" max="2049" width="10.1681415929204" style="63" customWidth="1"/>
    <col min="2050" max="2050" width="7.66371681415929" style="63" customWidth="1"/>
    <col min="2051" max="2296" width="9.16814159292035" style="63" customWidth="1"/>
    <col min="2297" max="2297" width="25.1681415929204" style="63" customWidth="1"/>
    <col min="2298" max="2298" width="19.1681415929204" style="63" customWidth="1"/>
    <col min="2299" max="2299" width="58.6637168141593" style="63" customWidth="1"/>
    <col min="2300" max="2300" width="10" style="63" customWidth="1"/>
    <col min="2301" max="2301" width="9.66371681415929" style="63" customWidth="1"/>
    <col min="2302" max="2302" width="11.1681415929204" style="63" customWidth="1"/>
    <col min="2303" max="2303" width="10.6637168141593" style="63" customWidth="1"/>
    <col min="2304" max="2304" width="11.1681415929204" style="63" customWidth="1"/>
    <col min="2305" max="2305" width="10.1681415929204" style="63" customWidth="1"/>
    <col min="2306" max="2306" width="7.66371681415929" style="63" customWidth="1"/>
    <col min="2307" max="2552" width="9.16814159292035" style="63" customWidth="1"/>
    <col min="2553" max="2553" width="25.1681415929204" style="63" customWidth="1"/>
    <col min="2554" max="2554" width="19.1681415929204" style="63" customWidth="1"/>
    <col min="2555" max="2555" width="58.6637168141593" style="63" customWidth="1"/>
    <col min="2556" max="2556" width="10" style="63" customWidth="1"/>
    <col min="2557" max="2557" width="9.66371681415929" style="63" customWidth="1"/>
    <col min="2558" max="2558" width="11.1681415929204" style="63" customWidth="1"/>
    <col min="2559" max="2559" width="10.6637168141593" style="63" customWidth="1"/>
    <col min="2560" max="2560" width="11.1681415929204" style="63" customWidth="1"/>
    <col min="2561" max="2561" width="10.1681415929204" style="63" customWidth="1"/>
    <col min="2562" max="2562" width="7.66371681415929" style="63" customWidth="1"/>
    <col min="2563" max="2808" width="9.16814159292035" style="63" customWidth="1"/>
    <col min="2809" max="2809" width="25.1681415929204" style="63" customWidth="1"/>
    <col min="2810" max="2810" width="19.1681415929204" style="63" customWidth="1"/>
    <col min="2811" max="2811" width="58.6637168141593" style="63" customWidth="1"/>
    <col min="2812" max="2812" width="10" style="63" customWidth="1"/>
    <col min="2813" max="2813" width="9.66371681415929" style="63" customWidth="1"/>
    <col min="2814" max="2814" width="11.1681415929204" style="63" customWidth="1"/>
    <col min="2815" max="2815" width="10.6637168141593" style="63" customWidth="1"/>
    <col min="2816" max="2816" width="11.1681415929204" style="63" customWidth="1"/>
    <col min="2817" max="2817" width="10.1681415929204" style="63" customWidth="1"/>
    <col min="2818" max="2818" width="7.66371681415929" style="63" customWidth="1"/>
    <col min="2819" max="3064" width="9.16814159292035" style="63" customWidth="1"/>
    <col min="3065" max="3065" width="25.1681415929204" style="63" customWidth="1"/>
    <col min="3066" max="3066" width="19.1681415929204" style="63" customWidth="1"/>
    <col min="3067" max="3067" width="58.6637168141593" style="63" customWidth="1"/>
    <col min="3068" max="3068" width="10" style="63" customWidth="1"/>
    <col min="3069" max="3069" width="9.66371681415929" style="63" customWidth="1"/>
    <col min="3070" max="3070" width="11.1681415929204" style="63" customWidth="1"/>
    <col min="3071" max="3071" width="10.6637168141593" style="63" customWidth="1"/>
    <col min="3072" max="3072" width="11.1681415929204" style="63" customWidth="1"/>
    <col min="3073" max="3073" width="10.1681415929204" style="63" customWidth="1"/>
    <col min="3074" max="3074" width="7.66371681415929" style="63" customWidth="1"/>
    <col min="3075" max="3320" width="9.16814159292035" style="63" customWidth="1"/>
    <col min="3321" max="3321" width="25.1681415929204" style="63" customWidth="1"/>
    <col min="3322" max="3322" width="19.1681415929204" style="63" customWidth="1"/>
    <col min="3323" max="3323" width="58.6637168141593" style="63" customWidth="1"/>
    <col min="3324" max="3324" width="10" style="63" customWidth="1"/>
    <col min="3325" max="3325" width="9.66371681415929" style="63" customWidth="1"/>
    <col min="3326" max="3326" width="11.1681415929204" style="63" customWidth="1"/>
    <col min="3327" max="3327" width="10.6637168141593" style="63" customWidth="1"/>
    <col min="3328" max="3328" width="11.1681415929204" style="63" customWidth="1"/>
    <col min="3329" max="3329" width="10.1681415929204" style="63" customWidth="1"/>
    <col min="3330" max="3330" width="7.66371681415929" style="63" customWidth="1"/>
    <col min="3331" max="3576" width="9.16814159292035" style="63" customWidth="1"/>
    <col min="3577" max="3577" width="25.1681415929204" style="63" customWidth="1"/>
    <col min="3578" max="3578" width="19.1681415929204" style="63" customWidth="1"/>
    <col min="3579" max="3579" width="58.6637168141593" style="63" customWidth="1"/>
    <col min="3580" max="3580" width="10" style="63" customWidth="1"/>
    <col min="3581" max="3581" width="9.66371681415929" style="63" customWidth="1"/>
    <col min="3582" max="3582" width="11.1681415929204" style="63" customWidth="1"/>
    <col min="3583" max="3583" width="10.6637168141593" style="63" customWidth="1"/>
    <col min="3584" max="3584" width="11.1681415929204" style="63" customWidth="1"/>
    <col min="3585" max="3585" width="10.1681415929204" style="63" customWidth="1"/>
    <col min="3586" max="3586" width="7.66371681415929" style="63" customWidth="1"/>
    <col min="3587" max="3832" width="9.16814159292035" style="63" customWidth="1"/>
    <col min="3833" max="3833" width="25.1681415929204" style="63" customWidth="1"/>
    <col min="3834" max="3834" width="19.1681415929204" style="63" customWidth="1"/>
    <col min="3835" max="3835" width="58.6637168141593" style="63" customWidth="1"/>
    <col min="3836" max="3836" width="10" style="63" customWidth="1"/>
    <col min="3837" max="3837" width="9.66371681415929" style="63" customWidth="1"/>
    <col min="3838" max="3838" width="11.1681415929204" style="63" customWidth="1"/>
    <col min="3839" max="3839" width="10.6637168141593" style="63" customWidth="1"/>
    <col min="3840" max="3840" width="11.1681415929204" style="63" customWidth="1"/>
    <col min="3841" max="3841" width="10.1681415929204" style="63" customWidth="1"/>
    <col min="3842" max="3842" width="7.66371681415929" style="63" customWidth="1"/>
    <col min="3843" max="4088" width="9.16814159292035" style="63" customWidth="1"/>
    <col min="4089" max="4089" width="25.1681415929204" style="63" customWidth="1"/>
    <col min="4090" max="4090" width="19.1681415929204" style="63" customWidth="1"/>
    <col min="4091" max="4091" width="58.6637168141593" style="63" customWidth="1"/>
    <col min="4092" max="4092" width="10" style="63" customWidth="1"/>
    <col min="4093" max="4093" width="9.66371681415929" style="63" customWidth="1"/>
    <col min="4094" max="4094" width="11.1681415929204" style="63" customWidth="1"/>
    <col min="4095" max="4095" width="10.6637168141593" style="63" customWidth="1"/>
    <col min="4096" max="4096" width="11.1681415929204" style="63" customWidth="1"/>
    <col min="4097" max="4097" width="10.1681415929204" style="63" customWidth="1"/>
    <col min="4098" max="4098" width="7.66371681415929" style="63" customWidth="1"/>
    <col min="4099" max="4344" width="9.16814159292035" style="63" customWidth="1"/>
    <col min="4345" max="4345" width="25.1681415929204" style="63" customWidth="1"/>
    <col min="4346" max="4346" width="19.1681415929204" style="63" customWidth="1"/>
    <col min="4347" max="4347" width="58.6637168141593" style="63" customWidth="1"/>
    <col min="4348" max="4348" width="10" style="63" customWidth="1"/>
    <col min="4349" max="4349" width="9.66371681415929" style="63" customWidth="1"/>
    <col min="4350" max="4350" width="11.1681415929204" style="63" customWidth="1"/>
    <col min="4351" max="4351" width="10.6637168141593" style="63" customWidth="1"/>
    <col min="4352" max="4352" width="11.1681415929204" style="63" customWidth="1"/>
    <col min="4353" max="4353" width="10.1681415929204" style="63" customWidth="1"/>
    <col min="4354" max="4354" width="7.66371681415929" style="63" customWidth="1"/>
    <col min="4355" max="4600" width="9.16814159292035" style="63" customWidth="1"/>
    <col min="4601" max="4601" width="25.1681415929204" style="63" customWidth="1"/>
    <col min="4602" max="4602" width="19.1681415929204" style="63" customWidth="1"/>
    <col min="4603" max="4603" width="58.6637168141593" style="63" customWidth="1"/>
    <col min="4604" max="4604" width="10" style="63" customWidth="1"/>
    <col min="4605" max="4605" width="9.66371681415929" style="63" customWidth="1"/>
    <col min="4606" max="4606" width="11.1681415929204" style="63" customWidth="1"/>
    <col min="4607" max="4607" width="10.6637168141593" style="63" customWidth="1"/>
    <col min="4608" max="4608" width="11.1681415929204" style="63" customWidth="1"/>
    <col min="4609" max="4609" width="10.1681415929204" style="63" customWidth="1"/>
    <col min="4610" max="4610" width="7.66371681415929" style="63" customWidth="1"/>
    <col min="4611" max="4856" width="9.16814159292035" style="63" customWidth="1"/>
    <col min="4857" max="4857" width="25.1681415929204" style="63" customWidth="1"/>
    <col min="4858" max="4858" width="19.1681415929204" style="63" customWidth="1"/>
    <col min="4859" max="4859" width="58.6637168141593" style="63" customWidth="1"/>
    <col min="4860" max="4860" width="10" style="63" customWidth="1"/>
    <col min="4861" max="4861" width="9.66371681415929" style="63" customWidth="1"/>
    <col min="4862" max="4862" width="11.1681415929204" style="63" customWidth="1"/>
    <col min="4863" max="4863" width="10.6637168141593" style="63" customWidth="1"/>
    <col min="4864" max="4864" width="11.1681415929204" style="63" customWidth="1"/>
    <col min="4865" max="4865" width="10.1681415929204" style="63" customWidth="1"/>
    <col min="4866" max="4866" width="7.66371681415929" style="63" customWidth="1"/>
    <col min="4867" max="5112" width="9.16814159292035" style="63" customWidth="1"/>
    <col min="5113" max="5113" width="25.1681415929204" style="63" customWidth="1"/>
    <col min="5114" max="5114" width="19.1681415929204" style="63" customWidth="1"/>
    <col min="5115" max="5115" width="58.6637168141593" style="63" customWidth="1"/>
    <col min="5116" max="5116" width="10" style="63" customWidth="1"/>
    <col min="5117" max="5117" width="9.66371681415929" style="63" customWidth="1"/>
    <col min="5118" max="5118" width="11.1681415929204" style="63" customWidth="1"/>
    <col min="5119" max="5119" width="10.6637168141593" style="63" customWidth="1"/>
    <col min="5120" max="5120" width="11.1681415929204" style="63" customWidth="1"/>
    <col min="5121" max="5121" width="10.1681415929204" style="63" customWidth="1"/>
    <col min="5122" max="5122" width="7.66371681415929" style="63" customWidth="1"/>
    <col min="5123" max="5368" width="9.16814159292035" style="63" customWidth="1"/>
    <col min="5369" max="5369" width="25.1681415929204" style="63" customWidth="1"/>
    <col min="5370" max="5370" width="19.1681415929204" style="63" customWidth="1"/>
    <col min="5371" max="5371" width="58.6637168141593" style="63" customWidth="1"/>
    <col min="5372" max="5372" width="10" style="63" customWidth="1"/>
    <col min="5373" max="5373" width="9.66371681415929" style="63" customWidth="1"/>
    <col min="5374" max="5374" width="11.1681415929204" style="63" customWidth="1"/>
    <col min="5375" max="5375" width="10.6637168141593" style="63" customWidth="1"/>
    <col min="5376" max="5376" width="11.1681415929204" style="63" customWidth="1"/>
    <col min="5377" max="5377" width="10.1681415929204" style="63" customWidth="1"/>
    <col min="5378" max="5378" width="7.66371681415929" style="63" customWidth="1"/>
    <col min="5379" max="5624" width="9.16814159292035" style="63" customWidth="1"/>
    <col min="5625" max="5625" width="25.1681415929204" style="63" customWidth="1"/>
    <col min="5626" max="5626" width="19.1681415929204" style="63" customWidth="1"/>
    <col min="5627" max="5627" width="58.6637168141593" style="63" customWidth="1"/>
    <col min="5628" max="5628" width="10" style="63" customWidth="1"/>
    <col min="5629" max="5629" width="9.66371681415929" style="63" customWidth="1"/>
    <col min="5630" max="5630" width="11.1681415929204" style="63" customWidth="1"/>
    <col min="5631" max="5631" width="10.6637168141593" style="63" customWidth="1"/>
    <col min="5632" max="5632" width="11.1681415929204" style="63" customWidth="1"/>
    <col min="5633" max="5633" width="10.1681415929204" style="63" customWidth="1"/>
    <col min="5634" max="5634" width="7.66371681415929" style="63" customWidth="1"/>
    <col min="5635" max="5880" width="9.16814159292035" style="63" customWidth="1"/>
    <col min="5881" max="5881" width="25.1681415929204" style="63" customWidth="1"/>
    <col min="5882" max="5882" width="19.1681415929204" style="63" customWidth="1"/>
    <col min="5883" max="5883" width="58.6637168141593" style="63" customWidth="1"/>
    <col min="5884" max="5884" width="10" style="63" customWidth="1"/>
    <col min="5885" max="5885" width="9.66371681415929" style="63" customWidth="1"/>
    <col min="5886" max="5886" width="11.1681415929204" style="63" customWidth="1"/>
    <col min="5887" max="5887" width="10.6637168141593" style="63" customWidth="1"/>
    <col min="5888" max="5888" width="11.1681415929204" style="63" customWidth="1"/>
    <col min="5889" max="5889" width="10.1681415929204" style="63" customWidth="1"/>
    <col min="5890" max="5890" width="7.66371681415929" style="63" customWidth="1"/>
    <col min="5891" max="6136" width="9.16814159292035" style="63" customWidth="1"/>
    <col min="6137" max="6137" width="25.1681415929204" style="63" customWidth="1"/>
    <col min="6138" max="6138" width="19.1681415929204" style="63" customWidth="1"/>
    <col min="6139" max="6139" width="58.6637168141593" style="63" customWidth="1"/>
    <col min="6140" max="6140" width="10" style="63" customWidth="1"/>
    <col min="6141" max="6141" width="9.66371681415929" style="63" customWidth="1"/>
    <col min="6142" max="6142" width="11.1681415929204" style="63" customWidth="1"/>
    <col min="6143" max="6143" width="10.6637168141593" style="63" customWidth="1"/>
    <col min="6144" max="6144" width="11.1681415929204" style="63" customWidth="1"/>
    <col min="6145" max="6145" width="10.1681415929204" style="63" customWidth="1"/>
    <col min="6146" max="6146" width="7.66371681415929" style="63" customWidth="1"/>
    <col min="6147" max="6392" width="9.16814159292035" style="63" customWidth="1"/>
    <col min="6393" max="6393" width="25.1681415929204" style="63" customWidth="1"/>
    <col min="6394" max="6394" width="19.1681415929204" style="63" customWidth="1"/>
    <col min="6395" max="6395" width="58.6637168141593" style="63" customWidth="1"/>
    <col min="6396" max="6396" width="10" style="63" customWidth="1"/>
    <col min="6397" max="6397" width="9.66371681415929" style="63" customWidth="1"/>
    <col min="6398" max="6398" width="11.1681415929204" style="63" customWidth="1"/>
    <col min="6399" max="6399" width="10.6637168141593" style="63" customWidth="1"/>
    <col min="6400" max="6400" width="11.1681415929204" style="63" customWidth="1"/>
    <col min="6401" max="6401" width="10.1681415929204" style="63" customWidth="1"/>
    <col min="6402" max="6402" width="7.66371681415929" style="63" customWidth="1"/>
    <col min="6403" max="6648" width="9.16814159292035" style="63" customWidth="1"/>
    <col min="6649" max="6649" width="25.1681415929204" style="63" customWidth="1"/>
    <col min="6650" max="6650" width="19.1681415929204" style="63" customWidth="1"/>
    <col min="6651" max="6651" width="58.6637168141593" style="63" customWidth="1"/>
    <col min="6652" max="6652" width="10" style="63" customWidth="1"/>
    <col min="6653" max="6653" width="9.66371681415929" style="63" customWidth="1"/>
    <col min="6654" max="6654" width="11.1681415929204" style="63" customWidth="1"/>
    <col min="6655" max="6655" width="10.6637168141593" style="63" customWidth="1"/>
    <col min="6656" max="6656" width="11.1681415929204" style="63" customWidth="1"/>
    <col min="6657" max="6657" width="10.1681415929204" style="63" customWidth="1"/>
    <col min="6658" max="6658" width="7.66371681415929" style="63" customWidth="1"/>
    <col min="6659" max="6904" width="9.16814159292035" style="63" customWidth="1"/>
    <col min="6905" max="6905" width="25.1681415929204" style="63" customWidth="1"/>
    <col min="6906" max="6906" width="19.1681415929204" style="63" customWidth="1"/>
    <col min="6907" max="6907" width="58.6637168141593" style="63" customWidth="1"/>
    <col min="6908" max="6908" width="10" style="63" customWidth="1"/>
    <col min="6909" max="6909" width="9.66371681415929" style="63" customWidth="1"/>
    <col min="6910" max="6910" width="11.1681415929204" style="63" customWidth="1"/>
    <col min="6911" max="6911" width="10.6637168141593" style="63" customWidth="1"/>
    <col min="6912" max="6912" width="11.1681415929204" style="63" customWidth="1"/>
    <col min="6913" max="6913" width="10.1681415929204" style="63" customWidth="1"/>
    <col min="6914" max="6914" width="7.66371681415929" style="63" customWidth="1"/>
    <col min="6915" max="7160" width="9.16814159292035" style="63" customWidth="1"/>
    <col min="7161" max="7161" width="25.1681415929204" style="63" customWidth="1"/>
    <col min="7162" max="7162" width="19.1681415929204" style="63" customWidth="1"/>
    <col min="7163" max="7163" width="58.6637168141593" style="63" customWidth="1"/>
    <col min="7164" max="7164" width="10" style="63" customWidth="1"/>
    <col min="7165" max="7165" width="9.66371681415929" style="63" customWidth="1"/>
    <col min="7166" max="7166" width="11.1681415929204" style="63" customWidth="1"/>
    <col min="7167" max="7167" width="10.6637168141593" style="63" customWidth="1"/>
    <col min="7168" max="7168" width="11.1681415929204" style="63" customWidth="1"/>
    <col min="7169" max="7169" width="10.1681415929204" style="63" customWidth="1"/>
    <col min="7170" max="7170" width="7.66371681415929" style="63" customWidth="1"/>
    <col min="7171" max="7416" width="9.16814159292035" style="63" customWidth="1"/>
    <col min="7417" max="7417" width="25.1681415929204" style="63" customWidth="1"/>
    <col min="7418" max="7418" width="19.1681415929204" style="63" customWidth="1"/>
    <col min="7419" max="7419" width="58.6637168141593" style="63" customWidth="1"/>
    <col min="7420" max="7420" width="10" style="63" customWidth="1"/>
    <col min="7421" max="7421" width="9.66371681415929" style="63" customWidth="1"/>
    <col min="7422" max="7422" width="11.1681415929204" style="63" customWidth="1"/>
    <col min="7423" max="7423" width="10.6637168141593" style="63" customWidth="1"/>
    <col min="7424" max="7424" width="11.1681415929204" style="63" customWidth="1"/>
    <col min="7425" max="7425" width="10.1681415929204" style="63" customWidth="1"/>
    <col min="7426" max="7426" width="7.66371681415929" style="63" customWidth="1"/>
    <col min="7427" max="7672" width="9.16814159292035" style="63" customWidth="1"/>
    <col min="7673" max="7673" width="25.1681415929204" style="63" customWidth="1"/>
    <col min="7674" max="7674" width="19.1681415929204" style="63" customWidth="1"/>
    <col min="7675" max="7675" width="58.6637168141593" style="63" customWidth="1"/>
    <col min="7676" max="7676" width="10" style="63" customWidth="1"/>
    <col min="7677" max="7677" width="9.66371681415929" style="63" customWidth="1"/>
    <col min="7678" max="7678" width="11.1681415929204" style="63" customWidth="1"/>
    <col min="7679" max="7679" width="10.6637168141593" style="63" customWidth="1"/>
    <col min="7680" max="7680" width="11.1681415929204" style="63" customWidth="1"/>
    <col min="7681" max="7681" width="10.1681415929204" style="63" customWidth="1"/>
    <col min="7682" max="7682" width="7.66371681415929" style="63" customWidth="1"/>
    <col min="7683" max="7928" width="9.16814159292035" style="63" customWidth="1"/>
    <col min="7929" max="7929" width="25.1681415929204" style="63" customWidth="1"/>
    <col min="7930" max="7930" width="19.1681415929204" style="63" customWidth="1"/>
    <col min="7931" max="7931" width="58.6637168141593" style="63" customWidth="1"/>
    <col min="7932" max="7932" width="10" style="63" customWidth="1"/>
    <col min="7933" max="7933" width="9.66371681415929" style="63" customWidth="1"/>
    <col min="7934" max="7934" width="11.1681415929204" style="63" customWidth="1"/>
    <col min="7935" max="7935" width="10.6637168141593" style="63" customWidth="1"/>
    <col min="7936" max="7936" width="11.1681415929204" style="63" customWidth="1"/>
    <col min="7937" max="7937" width="10.1681415929204" style="63" customWidth="1"/>
    <col min="7938" max="7938" width="7.66371681415929" style="63" customWidth="1"/>
    <col min="7939" max="8184" width="9.16814159292035" style="63" customWidth="1"/>
    <col min="8185" max="8185" width="25.1681415929204" style="63" customWidth="1"/>
    <col min="8186" max="8186" width="19.1681415929204" style="63" customWidth="1"/>
    <col min="8187" max="8187" width="58.6637168141593" style="63" customWidth="1"/>
    <col min="8188" max="8188" width="10" style="63" customWidth="1"/>
    <col min="8189" max="8189" width="9.66371681415929" style="63" customWidth="1"/>
    <col min="8190" max="8190" width="11.1681415929204" style="63" customWidth="1"/>
    <col min="8191" max="8191" width="10.6637168141593" style="63" customWidth="1"/>
    <col min="8192" max="8192" width="11.1681415929204" style="63" customWidth="1"/>
    <col min="8193" max="8193" width="10.1681415929204" style="63" customWidth="1"/>
    <col min="8194" max="8194" width="7.66371681415929" style="63" customWidth="1"/>
    <col min="8195" max="8440" width="9.16814159292035" style="63" customWidth="1"/>
    <col min="8441" max="8441" width="25.1681415929204" style="63" customWidth="1"/>
    <col min="8442" max="8442" width="19.1681415929204" style="63" customWidth="1"/>
    <col min="8443" max="8443" width="58.6637168141593" style="63" customWidth="1"/>
    <col min="8444" max="8444" width="10" style="63" customWidth="1"/>
    <col min="8445" max="8445" width="9.66371681415929" style="63" customWidth="1"/>
    <col min="8446" max="8446" width="11.1681415929204" style="63" customWidth="1"/>
    <col min="8447" max="8447" width="10.6637168141593" style="63" customWidth="1"/>
    <col min="8448" max="8448" width="11.1681415929204" style="63" customWidth="1"/>
    <col min="8449" max="8449" width="10.1681415929204" style="63" customWidth="1"/>
    <col min="8450" max="8450" width="7.66371681415929" style="63" customWidth="1"/>
    <col min="8451" max="8696" width="9.16814159292035" style="63" customWidth="1"/>
    <col min="8697" max="8697" width="25.1681415929204" style="63" customWidth="1"/>
    <col min="8698" max="8698" width="19.1681415929204" style="63" customWidth="1"/>
    <col min="8699" max="8699" width="58.6637168141593" style="63" customWidth="1"/>
    <col min="8700" max="8700" width="10" style="63" customWidth="1"/>
    <col min="8701" max="8701" width="9.66371681415929" style="63" customWidth="1"/>
    <col min="8702" max="8702" width="11.1681415929204" style="63" customWidth="1"/>
    <col min="8703" max="8703" width="10.6637168141593" style="63" customWidth="1"/>
    <col min="8704" max="8704" width="11.1681415929204" style="63" customWidth="1"/>
    <col min="8705" max="8705" width="10.1681415929204" style="63" customWidth="1"/>
    <col min="8706" max="8706" width="7.66371681415929" style="63" customWidth="1"/>
    <col min="8707" max="8952" width="9.16814159292035" style="63" customWidth="1"/>
    <col min="8953" max="8953" width="25.1681415929204" style="63" customWidth="1"/>
    <col min="8954" max="8954" width="19.1681415929204" style="63" customWidth="1"/>
    <col min="8955" max="8955" width="58.6637168141593" style="63" customWidth="1"/>
    <col min="8956" max="8956" width="10" style="63" customWidth="1"/>
    <col min="8957" max="8957" width="9.66371681415929" style="63" customWidth="1"/>
    <col min="8958" max="8958" width="11.1681415929204" style="63" customWidth="1"/>
    <col min="8959" max="8959" width="10.6637168141593" style="63" customWidth="1"/>
    <col min="8960" max="8960" width="11.1681415929204" style="63" customWidth="1"/>
    <col min="8961" max="8961" width="10.1681415929204" style="63" customWidth="1"/>
    <col min="8962" max="8962" width="7.66371681415929" style="63" customWidth="1"/>
    <col min="8963" max="9208" width="9.16814159292035" style="63" customWidth="1"/>
    <col min="9209" max="9209" width="25.1681415929204" style="63" customWidth="1"/>
    <col min="9210" max="9210" width="19.1681415929204" style="63" customWidth="1"/>
    <col min="9211" max="9211" width="58.6637168141593" style="63" customWidth="1"/>
    <col min="9212" max="9212" width="10" style="63" customWidth="1"/>
    <col min="9213" max="9213" width="9.66371681415929" style="63" customWidth="1"/>
    <col min="9214" max="9214" width="11.1681415929204" style="63" customWidth="1"/>
    <col min="9215" max="9215" width="10.6637168141593" style="63" customWidth="1"/>
    <col min="9216" max="9216" width="11.1681415929204" style="63" customWidth="1"/>
    <col min="9217" max="9217" width="10.1681415929204" style="63" customWidth="1"/>
    <col min="9218" max="9218" width="7.66371681415929" style="63" customWidth="1"/>
    <col min="9219" max="9464" width="9.16814159292035" style="63" customWidth="1"/>
    <col min="9465" max="9465" width="25.1681415929204" style="63" customWidth="1"/>
    <col min="9466" max="9466" width="19.1681415929204" style="63" customWidth="1"/>
    <col min="9467" max="9467" width="58.6637168141593" style="63" customWidth="1"/>
    <col min="9468" max="9468" width="10" style="63" customWidth="1"/>
    <col min="9469" max="9469" width="9.66371681415929" style="63" customWidth="1"/>
    <col min="9470" max="9470" width="11.1681415929204" style="63" customWidth="1"/>
    <col min="9471" max="9471" width="10.6637168141593" style="63" customWidth="1"/>
    <col min="9472" max="9472" width="11.1681415929204" style="63" customWidth="1"/>
    <col min="9473" max="9473" width="10.1681415929204" style="63" customWidth="1"/>
    <col min="9474" max="9474" width="7.66371681415929" style="63" customWidth="1"/>
    <col min="9475" max="9720" width="9.16814159292035" style="63" customWidth="1"/>
    <col min="9721" max="9721" width="25.1681415929204" style="63" customWidth="1"/>
    <col min="9722" max="9722" width="19.1681415929204" style="63" customWidth="1"/>
    <col min="9723" max="9723" width="58.6637168141593" style="63" customWidth="1"/>
    <col min="9724" max="9724" width="10" style="63" customWidth="1"/>
    <col min="9725" max="9725" width="9.66371681415929" style="63" customWidth="1"/>
    <col min="9726" max="9726" width="11.1681415929204" style="63" customWidth="1"/>
    <col min="9727" max="9727" width="10.6637168141593" style="63" customWidth="1"/>
    <col min="9728" max="9728" width="11.1681415929204" style="63" customWidth="1"/>
    <col min="9729" max="9729" width="10.1681415929204" style="63" customWidth="1"/>
    <col min="9730" max="9730" width="7.66371681415929" style="63" customWidth="1"/>
    <col min="9731" max="9976" width="9.16814159292035" style="63" customWidth="1"/>
    <col min="9977" max="9977" width="25.1681415929204" style="63" customWidth="1"/>
    <col min="9978" max="9978" width="19.1681415929204" style="63" customWidth="1"/>
    <col min="9979" max="9979" width="58.6637168141593" style="63" customWidth="1"/>
    <col min="9980" max="9980" width="10" style="63" customWidth="1"/>
    <col min="9981" max="9981" width="9.66371681415929" style="63" customWidth="1"/>
    <col min="9982" max="9982" width="11.1681415929204" style="63" customWidth="1"/>
    <col min="9983" max="9983" width="10.6637168141593" style="63" customWidth="1"/>
    <col min="9984" max="9984" width="11.1681415929204" style="63" customWidth="1"/>
    <col min="9985" max="9985" width="10.1681415929204" style="63" customWidth="1"/>
    <col min="9986" max="9986" width="7.66371681415929" style="63" customWidth="1"/>
    <col min="9987" max="10232" width="9.16814159292035" style="63" customWidth="1"/>
    <col min="10233" max="10233" width="25.1681415929204" style="63" customWidth="1"/>
    <col min="10234" max="10234" width="19.1681415929204" style="63" customWidth="1"/>
    <col min="10235" max="10235" width="58.6637168141593" style="63" customWidth="1"/>
    <col min="10236" max="10236" width="10" style="63" customWidth="1"/>
    <col min="10237" max="10237" width="9.66371681415929" style="63" customWidth="1"/>
    <col min="10238" max="10238" width="11.1681415929204" style="63" customWidth="1"/>
    <col min="10239" max="10239" width="10.6637168141593" style="63" customWidth="1"/>
    <col min="10240" max="10240" width="11.1681415929204" style="63" customWidth="1"/>
    <col min="10241" max="10241" width="10.1681415929204" style="63" customWidth="1"/>
    <col min="10242" max="10242" width="7.66371681415929" style="63" customWidth="1"/>
    <col min="10243" max="10488" width="9.16814159292035" style="63" customWidth="1"/>
    <col min="10489" max="10489" width="25.1681415929204" style="63" customWidth="1"/>
    <col min="10490" max="10490" width="19.1681415929204" style="63" customWidth="1"/>
    <col min="10491" max="10491" width="58.6637168141593" style="63" customWidth="1"/>
    <col min="10492" max="10492" width="10" style="63" customWidth="1"/>
    <col min="10493" max="10493" width="9.66371681415929" style="63" customWidth="1"/>
    <col min="10494" max="10494" width="11.1681415929204" style="63" customWidth="1"/>
    <col min="10495" max="10495" width="10.6637168141593" style="63" customWidth="1"/>
    <col min="10496" max="10496" width="11.1681415929204" style="63" customWidth="1"/>
    <col min="10497" max="10497" width="10.1681415929204" style="63" customWidth="1"/>
    <col min="10498" max="10498" width="7.66371681415929" style="63" customWidth="1"/>
    <col min="10499" max="10744" width="9.16814159292035" style="63" customWidth="1"/>
    <col min="10745" max="10745" width="25.1681415929204" style="63" customWidth="1"/>
    <col min="10746" max="10746" width="19.1681415929204" style="63" customWidth="1"/>
    <col min="10747" max="10747" width="58.6637168141593" style="63" customWidth="1"/>
    <col min="10748" max="10748" width="10" style="63" customWidth="1"/>
    <col min="10749" max="10749" width="9.66371681415929" style="63" customWidth="1"/>
    <col min="10750" max="10750" width="11.1681415929204" style="63" customWidth="1"/>
    <col min="10751" max="10751" width="10.6637168141593" style="63" customWidth="1"/>
    <col min="10752" max="10752" width="11.1681415929204" style="63" customWidth="1"/>
    <col min="10753" max="10753" width="10.1681415929204" style="63" customWidth="1"/>
    <col min="10754" max="10754" width="7.66371681415929" style="63" customWidth="1"/>
    <col min="10755" max="11000" width="9.16814159292035" style="63" customWidth="1"/>
    <col min="11001" max="11001" width="25.1681415929204" style="63" customWidth="1"/>
    <col min="11002" max="11002" width="19.1681415929204" style="63" customWidth="1"/>
    <col min="11003" max="11003" width="58.6637168141593" style="63" customWidth="1"/>
    <col min="11004" max="11004" width="10" style="63" customWidth="1"/>
    <col min="11005" max="11005" width="9.66371681415929" style="63" customWidth="1"/>
    <col min="11006" max="11006" width="11.1681415929204" style="63" customWidth="1"/>
    <col min="11007" max="11007" width="10.6637168141593" style="63" customWidth="1"/>
    <col min="11008" max="11008" width="11.1681415929204" style="63" customWidth="1"/>
    <col min="11009" max="11009" width="10.1681415929204" style="63" customWidth="1"/>
    <col min="11010" max="11010" width="7.66371681415929" style="63" customWidth="1"/>
    <col min="11011" max="11256" width="9.16814159292035" style="63" customWidth="1"/>
    <col min="11257" max="11257" width="25.1681415929204" style="63" customWidth="1"/>
    <col min="11258" max="11258" width="19.1681415929204" style="63" customWidth="1"/>
    <col min="11259" max="11259" width="58.6637168141593" style="63" customWidth="1"/>
    <col min="11260" max="11260" width="10" style="63" customWidth="1"/>
    <col min="11261" max="11261" width="9.66371681415929" style="63" customWidth="1"/>
    <col min="11262" max="11262" width="11.1681415929204" style="63" customWidth="1"/>
    <col min="11263" max="11263" width="10.6637168141593" style="63" customWidth="1"/>
    <col min="11264" max="11264" width="11.1681415929204" style="63" customWidth="1"/>
    <col min="11265" max="11265" width="10.1681415929204" style="63" customWidth="1"/>
    <col min="11266" max="11266" width="7.66371681415929" style="63" customWidth="1"/>
    <col min="11267" max="11512" width="9.16814159292035" style="63" customWidth="1"/>
    <col min="11513" max="11513" width="25.1681415929204" style="63" customWidth="1"/>
    <col min="11514" max="11514" width="19.1681415929204" style="63" customWidth="1"/>
    <col min="11515" max="11515" width="58.6637168141593" style="63" customWidth="1"/>
    <col min="11516" max="11516" width="10" style="63" customWidth="1"/>
    <col min="11517" max="11517" width="9.66371681415929" style="63" customWidth="1"/>
    <col min="11518" max="11518" width="11.1681415929204" style="63" customWidth="1"/>
    <col min="11519" max="11519" width="10.6637168141593" style="63" customWidth="1"/>
    <col min="11520" max="11520" width="11.1681415929204" style="63" customWidth="1"/>
    <col min="11521" max="11521" width="10.1681415929204" style="63" customWidth="1"/>
    <col min="11522" max="11522" width="7.66371681415929" style="63" customWidth="1"/>
    <col min="11523" max="11768" width="9.16814159292035" style="63" customWidth="1"/>
    <col min="11769" max="11769" width="25.1681415929204" style="63" customWidth="1"/>
    <col min="11770" max="11770" width="19.1681415929204" style="63" customWidth="1"/>
    <col min="11771" max="11771" width="58.6637168141593" style="63" customWidth="1"/>
    <col min="11772" max="11772" width="10" style="63" customWidth="1"/>
    <col min="11773" max="11773" width="9.66371681415929" style="63" customWidth="1"/>
    <col min="11774" max="11774" width="11.1681415929204" style="63" customWidth="1"/>
    <col min="11775" max="11775" width="10.6637168141593" style="63" customWidth="1"/>
    <col min="11776" max="11776" width="11.1681415929204" style="63" customWidth="1"/>
    <col min="11777" max="11777" width="10.1681415929204" style="63" customWidth="1"/>
    <col min="11778" max="11778" width="7.66371681415929" style="63" customWidth="1"/>
    <col min="11779" max="12024" width="9.16814159292035" style="63" customWidth="1"/>
    <col min="12025" max="12025" width="25.1681415929204" style="63" customWidth="1"/>
    <col min="12026" max="12026" width="19.1681415929204" style="63" customWidth="1"/>
    <col min="12027" max="12027" width="58.6637168141593" style="63" customWidth="1"/>
    <col min="12028" max="12028" width="10" style="63" customWidth="1"/>
    <col min="12029" max="12029" width="9.66371681415929" style="63" customWidth="1"/>
    <col min="12030" max="12030" width="11.1681415929204" style="63" customWidth="1"/>
    <col min="12031" max="12031" width="10.6637168141593" style="63" customWidth="1"/>
    <col min="12032" max="12032" width="11.1681415929204" style="63" customWidth="1"/>
    <col min="12033" max="12033" width="10.1681415929204" style="63" customWidth="1"/>
    <col min="12034" max="12034" width="7.66371681415929" style="63" customWidth="1"/>
    <col min="12035" max="12280" width="9.16814159292035" style="63" customWidth="1"/>
    <col min="12281" max="12281" width="25.1681415929204" style="63" customWidth="1"/>
    <col min="12282" max="12282" width="19.1681415929204" style="63" customWidth="1"/>
    <col min="12283" max="12283" width="58.6637168141593" style="63" customWidth="1"/>
    <col min="12284" max="12284" width="10" style="63" customWidth="1"/>
    <col min="12285" max="12285" width="9.66371681415929" style="63" customWidth="1"/>
    <col min="12286" max="12286" width="11.1681415929204" style="63" customWidth="1"/>
    <col min="12287" max="12287" width="10.6637168141593" style="63" customWidth="1"/>
    <col min="12288" max="12288" width="11.1681415929204" style="63" customWidth="1"/>
    <col min="12289" max="12289" width="10.1681415929204" style="63" customWidth="1"/>
    <col min="12290" max="12290" width="7.66371681415929" style="63" customWidth="1"/>
    <col min="12291" max="12536" width="9.16814159292035" style="63" customWidth="1"/>
    <col min="12537" max="12537" width="25.1681415929204" style="63" customWidth="1"/>
    <col min="12538" max="12538" width="19.1681415929204" style="63" customWidth="1"/>
    <col min="12539" max="12539" width="58.6637168141593" style="63" customWidth="1"/>
    <col min="12540" max="12540" width="10" style="63" customWidth="1"/>
    <col min="12541" max="12541" width="9.66371681415929" style="63" customWidth="1"/>
    <col min="12542" max="12542" width="11.1681415929204" style="63" customWidth="1"/>
    <col min="12543" max="12543" width="10.6637168141593" style="63" customWidth="1"/>
    <col min="12544" max="12544" width="11.1681415929204" style="63" customWidth="1"/>
    <col min="12545" max="12545" width="10.1681415929204" style="63" customWidth="1"/>
    <col min="12546" max="12546" width="7.66371681415929" style="63" customWidth="1"/>
    <col min="12547" max="12792" width="9.16814159292035" style="63" customWidth="1"/>
    <col min="12793" max="12793" width="25.1681415929204" style="63" customWidth="1"/>
    <col min="12794" max="12794" width="19.1681415929204" style="63" customWidth="1"/>
    <col min="12795" max="12795" width="58.6637168141593" style="63" customWidth="1"/>
    <col min="12796" max="12796" width="10" style="63" customWidth="1"/>
    <col min="12797" max="12797" width="9.66371681415929" style="63" customWidth="1"/>
    <col min="12798" max="12798" width="11.1681415929204" style="63" customWidth="1"/>
    <col min="12799" max="12799" width="10.6637168141593" style="63" customWidth="1"/>
    <col min="12800" max="12800" width="11.1681415929204" style="63" customWidth="1"/>
    <col min="12801" max="12801" width="10.1681415929204" style="63" customWidth="1"/>
    <col min="12802" max="12802" width="7.66371681415929" style="63" customWidth="1"/>
    <col min="12803" max="13048" width="9.16814159292035" style="63" customWidth="1"/>
    <col min="13049" max="13049" width="25.1681415929204" style="63" customWidth="1"/>
    <col min="13050" max="13050" width="19.1681415929204" style="63" customWidth="1"/>
    <col min="13051" max="13051" width="58.6637168141593" style="63" customWidth="1"/>
    <col min="13052" max="13052" width="10" style="63" customWidth="1"/>
    <col min="13053" max="13053" width="9.66371681415929" style="63" customWidth="1"/>
    <col min="13054" max="13054" width="11.1681415929204" style="63" customWidth="1"/>
    <col min="13055" max="13055" width="10.6637168141593" style="63" customWidth="1"/>
    <col min="13056" max="13056" width="11.1681415929204" style="63" customWidth="1"/>
    <col min="13057" max="13057" width="10.1681415929204" style="63" customWidth="1"/>
    <col min="13058" max="13058" width="7.66371681415929" style="63" customWidth="1"/>
    <col min="13059" max="13304" width="9.16814159292035" style="63" customWidth="1"/>
    <col min="13305" max="13305" width="25.1681415929204" style="63" customWidth="1"/>
    <col min="13306" max="13306" width="19.1681415929204" style="63" customWidth="1"/>
    <col min="13307" max="13307" width="58.6637168141593" style="63" customWidth="1"/>
    <col min="13308" max="13308" width="10" style="63" customWidth="1"/>
    <col min="13309" max="13309" width="9.66371681415929" style="63" customWidth="1"/>
    <col min="13310" max="13310" width="11.1681415929204" style="63" customWidth="1"/>
    <col min="13311" max="13311" width="10.6637168141593" style="63" customWidth="1"/>
    <col min="13312" max="13312" width="11.1681415929204" style="63" customWidth="1"/>
    <col min="13313" max="13313" width="10.1681415929204" style="63" customWidth="1"/>
    <col min="13314" max="13314" width="7.66371681415929" style="63" customWidth="1"/>
    <col min="13315" max="13560" width="9.16814159292035" style="63" customWidth="1"/>
    <col min="13561" max="13561" width="25.1681415929204" style="63" customWidth="1"/>
    <col min="13562" max="13562" width="19.1681415929204" style="63" customWidth="1"/>
    <col min="13563" max="13563" width="58.6637168141593" style="63" customWidth="1"/>
    <col min="13564" max="13564" width="10" style="63" customWidth="1"/>
    <col min="13565" max="13565" width="9.66371681415929" style="63" customWidth="1"/>
    <col min="13566" max="13566" width="11.1681415929204" style="63" customWidth="1"/>
    <col min="13567" max="13567" width="10.6637168141593" style="63" customWidth="1"/>
    <col min="13568" max="13568" width="11.1681415929204" style="63" customWidth="1"/>
    <col min="13569" max="13569" width="10.1681415929204" style="63" customWidth="1"/>
    <col min="13570" max="13570" width="7.66371681415929" style="63" customWidth="1"/>
    <col min="13571" max="13816" width="9.16814159292035" style="63" customWidth="1"/>
    <col min="13817" max="13817" width="25.1681415929204" style="63" customWidth="1"/>
    <col min="13818" max="13818" width="19.1681415929204" style="63" customWidth="1"/>
    <col min="13819" max="13819" width="58.6637168141593" style="63" customWidth="1"/>
    <col min="13820" max="13820" width="10" style="63" customWidth="1"/>
    <col min="13821" max="13821" width="9.66371681415929" style="63" customWidth="1"/>
    <col min="13822" max="13822" width="11.1681415929204" style="63" customWidth="1"/>
    <col min="13823" max="13823" width="10.6637168141593" style="63" customWidth="1"/>
    <col min="13824" max="13824" width="11.1681415929204" style="63" customWidth="1"/>
    <col min="13825" max="13825" width="10.1681415929204" style="63" customWidth="1"/>
    <col min="13826" max="13826" width="7.66371681415929" style="63" customWidth="1"/>
    <col min="13827" max="14072" width="9.16814159292035" style="63" customWidth="1"/>
    <col min="14073" max="14073" width="25.1681415929204" style="63" customWidth="1"/>
    <col min="14074" max="14074" width="19.1681415929204" style="63" customWidth="1"/>
    <col min="14075" max="14075" width="58.6637168141593" style="63" customWidth="1"/>
    <col min="14076" max="14076" width="10" style="63" customWidth="1"/>
    <col min="14077" max="14077" width="9.66371681415929" style="63" customWidth="1"/>
    <col min="14078" max="14078" width="11.1681415929204" style="63" customWidth="1"/>
    <col min="14079" max="14079" width="10.6637168141593" style="63" customWidth="1"/>
    <col min="14080" max="14080" width="11.1681415929204" style="63" customWidth="1"/>
    <col min="14081" max="14081" width="10.1681415929204" style="63" customWidth="1"/>
    <col min="14082" max="14082" width="7.66371681415929" style="63" customWidth="1"/>
    <col min="14083" max="14328" width="9.16814159292035" style="63" customWidth="1"/>
    <col min="14329" max="14329" width="25.1681415929204" style="63" customWidth="1"/>
    <col min="14330" max="14330" width="19.1681415929204" style="63" customWidth="1"/>
    <col min="14331" max="14331" width="58.6637168141593" style="63" customWidth="1"/>
    <col min="14332" max="14332" width="10" style="63" customWidth="1"/>
    <col min="14333" max="14333" width="9.66371681415929" style="63" customWidth="1"/>
    <col min="14334" max="14334" width="11.1681415929204" style="63" customWidth="1"/>
    <col min="14335" max="14335" width="10.6637168141593" style="63" customWidth="1"/>
    <col min="14336" max="14336" width="11.1681415929204" style="63" customWidth="1"/>
    <col min="14337" max="14337" width="10.1681415929204" style="63" customWidth="1"/>
    <col min="14338" max="14338" width="7.66371681415929" style="63" customWidth="1"/>
    <col min="14339" max="14584" width="9.16814159292035" style="63" customWidth="1"/>
    <col min="14585" max="14585" width="25.1681415929204" style="63" customWidth="1"/>
    <col min="14586" max="14586" width="19.1681415929204" style="63" customWidth="1"/>
    <col min="14587" max="14587" width="58.6637168141593" style="63" customWidth="1"/>
    <col min="14588" max="14588" width="10" style="63" customWidth="1"/>
    <col min="14589" max="14589" width="9.66371681415929" style="63" customWidth="1"/>
    <col min="14590" max="14590" width="11.1681415929204" style="63" customWidth="1"/>
    <col min="14591" max="14591" width="10.6637168141593" style="63" customWidth="1"/>
    <col min="14592" max="14592" width="11.1681415929204" style="63" customWidth="1"/>
    <col min="14593" max="14593" width="10.1681415929204" style="63" customWidth="1"/>
    <col min="14594" max="14594" width="7.66371681415929" style="63" customWidth="1"/>
    <col min="14595" max="14840" width="9.16814159292035" style="63" customWidth="1"/>
    <col min="14841" max="14841" width="25.1681415929204" style="63" customWidth="1"/>
    <col min="14842" max="14842" width="19.1681415929204" style="63" customWidth="1"/>
    <col min="14843" max="14843" width="58.6637168141593" style="63" customWidth="1"/>
    <col min="14844" max="14844" width="10" style="63" customWidth="1"/>
    <col min="14845" max="14845" width="9.66371681415929" style="63" customWidth="1"/>
    <col min="14846" max="14846" width="11.1681415929204" style="63" customWidth="1"/>
    <col min="14847" max="14847" width="10.6637168141593" style="63" customWidth="1"/>
    <col min="14848" max="14848" width="11.1681415929204" style="63" customWidth="1"/>
    <col min="14849" max="14849" width="10.1681415929204" style="63" customWidth="1"/>
    <col min="14850" max="14850" width="7.66371681415929" style="63" customWidth="1"/>
    <col min="14851" max="15096" width="9.16814159292035" style="63" customWidth="1"/>
    <col min="15097" max="15097" width="25.1681415929204" style="63" customWidth="1"/>
    <col min="15098" max="15098" width="19.1681415929204" style="63" customWidth="1"/>
    <col min="15099" max="15099" width="58.6637168141593" style="63" customWidth="1"/>
    <col min="15100" max="15100" width="10" style="63" customWidth="1"/>
    <col min="15101" max="15101" width="9.66371681415929" style="63" customWidth="1"/>
    <col min="15102" max="15102" width="11.1681415929204" style="63" customWidth="1"/>
    <col min="15103" max="15103" width="10.6637168141593" style="63" customWidth="1"/>
    <col min="15104" max="15104" width="11.1681415929204" style="63" customWidth="1"/>
    <col min="15105" max="15105" width="10.1681415929204" style="63" customWidth="1"/>
    <col min="15106" max="15106" width="7.66371681415929" style="63" customWidth="1"/>
    <col min="15107" max="15352" width="9.16814159292035" style="63" customWidth="1"/>
    <col min="15353" max="15353" width="25.1681415929204" style="63" customWidth="1"/>
    <col min="15354" max="15354" width="19.1681415929204" style="63" customWidth="1"/>
    <col min="15355" max="15355" width="58.6637168141593" style="63" customWidth="1"/>
    <col min="15356" max="15356" width="10" style="63" customWidth="1"/>
    <col min="15357" max="15357" width="9.66371681415929" style="63" customWidth="1"/>
    <col min="15358" max="15358" width="11.1681415929204" style="63" customWidth="1"/>
    <col min="15359" max="15359" width="10.6637168141593" style="63" customWidth="1"/>
    <col min="15360" max="15360" width="11.1681415929204" style="63" customWidth="1"/>
    <col min="15361" max="15361" width="10.1681415929204" style="63" customWidth="1"/>
    <col min="15362" max="15362" width="7.66371681415929" style="63" customWidth="1"/>
    <col min="15363" max="15608" width="9.16814159292035" style="63" customWidth="1"/>
    <col min="15609" max="15609" width="25.1681415929204" style="63" customWidth="1"/>
    <col min="15610" max="15610" width="19.1681415929204" style="63" customWidth="1"/>
    <col min="15611" max="15611" width="58.6637168141593" style="63" customWidth="1"/>
    <col min="15612" max="15612" width="10" style="63" customWidth="1"/>
    <col min="15613" max="15613" width="9.66371681415929" style="63" customWidth="1"/>
    <col min="15614" max="15614" width="11.1681415929204" style="63" customWidth="1"/>
    <col min="15615" max="15615" width="10.6637168141593" style="63" customWidth="1"/>
    <col min="15616" max="15616" width="11.1681415929204" style="63" customWidth="1"/>
    <col min="15617" max="15617" width="10.1681415929204" style="63" customWidth="1"/>
    <col min="15618" max="15618" width="7.66371681415929" style="63" customWidth="1"/>
    <col min="15619" max="15864" width="9.16814159292035" style="63" customWidth="1"/>
    <col min="15865" max="15865" width="25.1681415929204" style="63" customWidth="1"/>
    <col min="15866" max="15866" width="19.1681415929204" style="63" customWidth="1"/>
    <col min="15867" max="15867" width="58.6637168141593" style="63" customWidth="1"/>
    <col min="15868" max="15868" width="10" style="63" customWidth="1"/>
    <col min="15869" max="15869" width="9.66371681415929" style="63" customWidth="1"/>
    <col min="15870" max="15870" width="11.1681415929204" style="63" customWidth="1"/>
    <col min="15871" max="15871" width="10.6637168141593" style="63" customWidth="1"/>
    <col min="15872" max="15872" width="11.1681415929204" style="63" customWidth="1"/>
    <col min="15873" max="15873" width="10.1681415929204" style="63" customWidth="1"/>
    <col min="15874" max="15874" width="7.66371681415929" style="63" customWidth="1"/>
    <col min="15875" max="16120" width="9.16814159292035" style="63" customWidth="1"/>
    <col min="16121" max="16121" width="25.1681415929204" style="63" customWidth="1"/>
    <col min="16122" max="16122" width="19.1681415929204" style="63" customWidth="1"/>
    <col min="16123" max="16123" width="58.6637168141593" style="63" customWidth="1"/>
    <col min="16124" max="16124" width="10" style="63" customWidth="1"/>
    <col min="16125" max="16125" width="9.66371681415929" style="63" customWidth="1"/>
    <col min="16126" max="16126" width="11.1681415929204" style="63" customWidth="1"/>
    <col min="16127" max="16127" width="10.6637168141593" style="63" customWidth="1"/>
    <col min="16128" max="16128" width="11.1681415929204" style="63" customWidth="1"/>
    <col min="16129" max="16129" width="10.1681415929204" style="63" customWidth="1"/>
    <col min="16130" max="16130" width="7.66371681415929" style="63" customWidth="1"/>
    <col min="16131" max="16377" width="9.16814159292035" style="63" customWidth="1"/>
    <col min="16378" max="16382" width="8.66371681415929" style="63" customWidth="1"/>
    <col min="16383" max="16384" width="8.66371681415929" style="63"/>
  </cols>
  <sheetData>
    <row r="1" ht="14" customHeight="1" spans="1:248">
      <c r="A1" s="91" t="s">
        <v>50</v>
      </c>
      <c r="B1" s="91" t="s">
        <v>51</v>
      </c>
      <c r="C1" s="91" t="s">
        <v>52</v>
      </c>
      <c r="D1" s="91" t="s">
        <v>53</v>
      </c>
      <c r="E1" s="217" t="s">
        <v>57</v>
      </c>
      <c r="F1" s="217" t="s">
        <v>58</v>
      </c>
      <c r="G1" s="217" t="s">
        <v>59</v>
      </c>
      <c r="H1" s="218" t="s">
        <v>60</v>
      </c>
    </row>
    <row r="2" ht="30" customHeight="1" spans="1:248">
      <c r="A2" s="219" t="s">
        <v>1234</v>
      </c>
      <c r="B2" s="72" t="s">
        <v>37</v>
      </c>
      <c r="C2" s="85" t="s">
        <v>1235</v>
      </c>
      <c r="D2" s="220" t="s">
        <v>1236</v>
      </c>
      <c r="E2" s="72">
        <v>6300</v>
      </c>
      <c r="F2" s="206"/>
      <c r="G2" s="72"/>
      <c r="H2" s="221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</row>
    <row r="3" ht="45" customHeight="1" spans="1:248">
      <c r="A3" s="219" t="s">
        <v>1237</v>
      </c>
      <c r="B3" s="72" t="s">
        <v>36</v>
      </c>
      <c r="C3" s="85" t="s">
        <v>1238</v>
      </c>
      <c r="D3" s="220" t="s">
        <v>1239</v>
      </c>
      <c r="E3" s="72">
        <v>10500</v>
      </c>
      <c r="F3" s="206"/>
      <c r="G3" s="72"/>
      <c r="H3" s="221"/>
    </row>
    <row r="4" ht="30" customHeight="1" spans="1:248">
      <c r="A4" s="219" t="s">
        <v>1234</v>
      </c>
      <c r="B4" s="72" t="s">
        <v>37</v>
      </c>
      <c r="C4" s="85" t="s">
        <v>1240</v>
      </c>
      <c r="D4" s="220" t="s">
        <v>1241</v>
      </c>
      <c r="E4" s="72">
        <v>11550</v>
      </c>
      <c r="F4" s="206"/>
      <c r="G4" s="72"/>
      <c r="H4" s="222"/>
    </row>
    <row r="5" ht="45" customHeight="1" spans="1:248">
      <c r="A5" s="219" t="s">
        <v>1237</v>
      </c>
      <c r="B5" s="72" t="s">
        <v>36</v>
      </c>
      <c r="C5" s="85" t="s">
        <v>1242</v>
      </c>
      <c r="D5" s="220" t="s">
        <v>1243</v>
      </c>
      <c r="E5" s="72">
        <v>19175</v>
      </c>
      <c r="F5" s="206"/>
      <c r="G5" s="72"/>
      <c r="H5" s="222"/>
    </row>
    <row r="6" ht="45" customHeight="1" spans="1:248">
      <c r="A6" s="219" t="s">
        <v>1244</v>
      </c>
      <c r="B6" s="72" t="s">
        <v>37</v>
      </c>
      <c r="C6" s="85" t="s">
        <v>1245</v>
      </c>
      <c r="D6" s="220" t="s">
        <v>1246</v>
      </c>
      <c r="E6" s="72">
        <v>79050</v>
      </c>
      <c r="F6" s="206"/>
      <c r="G6" s="72"/>
      <c r="H6" s="221"/>
      <c r="I6" s="184"/>
    </row>
    <row r="7" ht="45" customHeight="1" spans="1:248">
      <c r="A7" s="219" t="s">
        <v>1247</v>
      </c>
      <c r="B7" s="120" t="s">
        <v>37</v>
      </c>
      <c r="C7" s="85" t="s">
        <v>1248</v>
      </c>
      <c r="D7" s="220" t="s">
        <v>1249</v>
      </c>
      <c r="E7" s="72">
        <v>95315</v>
      </c>
      <c r="F7" s="206"/>
      <c r="G7" s="72"/>
      <c r="H7" s="222"/>
    </row>
    <row r="8" ht="45" customHeight="1" spans="1:248">
      <c r="A8" s="219" t="s">
        <v>1250</v>
      </c>
      <c r="B8" s="99" t="s">
        <v>36</v>
      </c>
      <c r="C8" s="85" t="s">
        <v>1251</v>
      </c>
      <c r="D8" s="87" t="s">
        <v>1252</v>
      </c>
      <c r="E8" s="99">
        <v>91800</v>
      </c>
      <c r="F8" s="206"/>
      <c r="G8" s="72"/>
      <c r="H8" s="223"/>
    </row>
    <row r="9" ht="45" customHeight="1" spans="1:248">
      <c r="A9" s="219" t="s">
        <v>1250</v>
      </c>
      <c r="B9" s="99" t="s">
        <v>36</v>
      </c>
      <c r="C9" s="85" t="s">
        <v>1253</v>
      </c>
      <c r="D9" s="87" t="s">
        <v>1254</v>
      </c>
      <c r="E9" s="99">
        <v>102000</v>
      </c>
      <c r="F9" s="206"/>
      <c r="G9" s="72"/>
      <c r="H9" s="223"/>
    </row>
    <row r="10" ht="45" customHeight="1" spans="1:248">
      <c r="A10" s="219" t="s">
        <v>1244</v>
      </c>
      <c r="B10" s="99" t="s">
        <v>37</v>
      </c>
      <c r="C10" s="85" t="s">
        <v>1255</v>
      </c>
      <c r="D10" s="87" t="s">
        <v>1256</v>
      </c>
      <c r="E10" s="99">
        <v>94350</v>
      </c>
      <c r="F10" s="206"/>
      <c r="G10" s="72"/>
      <c r="H10" s="221"/>
    </row>
    <row r="11" ht="45" customHeight="1" spans="1:248">
      <c r="A11" s="197" t="s">
        <v>1257</v>
      </c>
      <c r="B11" s="197" t="s">
        <v>37</v>
      </c>
      <c r="C11" s="85" t="s">
        <v>1258</v>
      </c>
      <c r="D11" s="87" t="s">
        <v>1259</v>
      </c>
      <c r="E11" s="99">
        <v>181250</v>
      </c>
      <c r="F11" s="206"/>
      <c r="G11" s="72"/>
      <c r="H11" s="222"/>
    </row>
    <row r="12" ht="45" customHeight="1" spans="1:248">
      <c r="A12" s="197" t="s">
        <v>1257</v>
      </c>
      <c r="B12" s="197" t="s">
        <v>37</v>
      </c>
      <c r="C12" s="85" t="s">
        <v>1260</v>
      </c>
      <c r="D12" s="87" t="s">
        <v>1261</v>
      </c>
      <c r="E12" s="99">
        <v>306000</v>
      </c>
      <c r="F12" s="206"/>
      <c r="G12" s="72"/>
      <c r="H12" s="222"/>
    </row>
    <row r="13" ht="45" customHeight="1" spans="1:248">
      <c r="A13" s="197" t="s">
        <v>1257</v>
      </c>
      <c r="B13" s="197" t="s">
        <v>37</v>
      </c>
      <c r="C13" s="172" t="s">
        <v>1262</v>
      </c>
      <c r="D13" s="87" t="s">
        <v>1263</v>
      </c>
      <c r="E13" s="224">
        <v>858333</v>
      </c>
      <c r="F13" s="225"/>
      <c r="G13" s="100" t="s">
        <v>285</v>
      </c>
      <c r="H13" s="226" t="s">
        <v>286</v>
      </c>
    </row>
    <row r="14" ht="45" customHeight="1" spans="1:248">
      <c r="A14" s="197" t="s">
        <v>1257</v>
      </c>
      <c r="B14" s="197" t="s">
        <v>37</v>
      </c>
      <c r="C14" s="172" t="s">
        <v>1264</v>
      </c>
      <c r="D14" s="87" t="s">
        <v>1265</v>
      </c>
      <c r="E14" s="224">
        <v>510000</v>
      </c>
      <c r="F14" s="225"/>
      <c r="G14" s="100" t="s">
        <v>285</v>
      </c>
      <c r="H14" s="226" t="s">
        <v>286</v>
      </c>
    </row>
    <row r="15" ht="45" customHeight="1" spans="1:248">
      <c r="A15" s="197" t="s">
        <v>1257</v>
      </c>
      <c r="B15" s="197" t="s">
        <v>37</v>
      </c>
      <c r="C15" s="172" t="s">
        <v>1266</v>
      </c>
      <c r="D15" s="87" t="s">
        <v>1267</v>
      </c>
      <c r="E15" s="224">
        <v>306000</v>
      </c>
      <c r="F15" s="225"/>
      <c r="G15" s="100" t="s">
        <v>285</v>
      </c>
      <c r="H15" s="226" t="s">
        <v>286</v>
      </c>
    </row>
    <row r="16" ht="45" customHeight="1" spans="1:248">
      <c r="A16" s="197" t="s">
        <v>1257</v>
      </c>
      <c r="B16" s="197" t="s">
        <v>37</v>
      </c>
      <c r="C16" s="172" t="s">
        <v>1268</v>
      </c>
      <c r="D16" s="87" t="s">
        <v>1269</v>
      </c>
      <c r="E16" s="224">
        <v>326400</v>
      </c>
      <c r="F16" s="225"/>
      <c r="G16" s="100" t="s">
        <v>285</v>
      </c>
      <c r="H16" s="226" t="s">
        <v>286</v>
      </c>
    </row>
  </sheetData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indexed="16"/>
  </sheetPr>
  <dimension ref="A1:I127"/>
  <sheetViews>
    <sheetView workbookViewId="0">
      <pane xSplit="1" ySplit="1" topLeftCell="B64" activePane="bottomRight" state="frozen"/>
      <selection/>
      <selection pane="topRight"/>
      <selection pane="bottomLeft"/>
      <selection pane="bottomRight" activeCell="S19" sqref="S19"/>
    </sheetView>
  </sheetViews>
  <sheetFormatPr defaultColWidth="9" defaultRowHeight="12.75"/>
  <cols>
    <col min="1" max="1" width="22" style="184" customWidth="1"/>
    <col min="2" max="2" width="25" style="184" customWidth="1"/>
    <col min="3" max="3" width="18.6637168141593" style="132" customWidth="1"/>
    <col min="4" max="4" width="61.6637168141593" style="191" customWidth="1"/>
    <col min="5" max="5" width="14.1681415929204" style="192" customWidth="1"/>
    <col min="6" max="6" width="10.6637168141593" style="184" customWidth="1"/>
    <col min="7" max="7" width="8" style="184" customWidth="1"/>
    <col min="8" max="8" width="14.5044247787611" style="193" customWidth="1"/>
    <col min="9" max="9" width="15" style="194" customWidth="1"/>
    <col min="10" max="16384" width="9" style="194"/>
  </cols>
  <sheetData>
    <row r="1" s="63" customFormat="1" ht="13.85" spans="1:8">
      <c r="A1" s="91" t="s">
        <v>50</v>
      </c>
      <c r="B1" s="91" t="s">
        <v>51</v>
      </c>
      <c r="C1" s="91" t="s">
        <v>52</v>
      </c>
      <c r="D1" s="91" t="s">
        <v>53</v>
      </c>
      <c r="E1" s="195" t="s">
        <v>57</v>
      </c>
      <c r="F1" s="70" t="s">
        <v>58</v>
      </c>
      <c r="G1" s="70" t="s">
        <v>59</v>
      </c>
      <c r="H1" s="127" t="s">
        <v>60</v>
      </c>
    </row>
    <row r="2" ht="28" customHeight="1" spans="1:8">
      <c r="A2" s="196" t="s">
        <v>1270</v>
      </c>
      <c r="B2" s="197" t="s">
        <v>48</v>
      </c>
      <c r="C2" s="196" t="s">
        <v>1271</v>
      </c>
      <c r="D2" s="198" t="s">
        <v>1272</v>
      </c>
      <c r="E2" s="72">
        <v>58500</v>
      </c>
      <c r="F2" s="199"/>
      <c r="G2" s="200"/>
      <c r="H2" s="201"/>
    </row>
    <row r="3" ht="28" customHeight="1" spans="1:8">
      <c r="A3" s="196" t="s">
        <v>1270</v>
      </c>
      <c r="B3" s="197" t="s">
        <v>48</v>
      </c>
      <c r="C3" s="196" t="s">
        <v>1273</v>
      </c>
      <c r="D3" s="198" t="s">
        <v>1274</v>
      </c>
      <c r="E3" s="72">
        <v>8100</v>
      </c>
      <c r="F3" s="199"/>
      <c r="G3" s="200"/>
      <c r="H3" s="201"/>
    </row>
    <row r="4" ht="28" customHeight="1" spans="1:8">
      <c r="A4" s="196" t="s">
        <v>1270</v>
      </c>
      <c r="B4" s="197" t="s">
        <v>48</v>
      </c>
      <c r="C4" s="196" t="s">
        <v>1275</v>
      </c>
      <c r="D4" s="198" t="s">
        <v>1276</v>
      </c>
      <c r="E4" s="72">
        <v>11700</v>
      </c>
      <c r="F4" s="199"/>
      <c r="G4" s="200"/>
      <c r="H4" s="201"/>
    </row>
    <row r="5" ht="28" customHeight="1" spans="1:8">
      <c r="A5" s="196" t="s">
        <v>1270</v>
      </c>
      <c r="B5" s="202" t="s">
        <v>48</v>
      </c>
      <c r="C5" s="196" t="s">
        <v>1277</v>
      </c>
      <c r="D5" s="198" t="s">
        <v>1278</v>
      </c>
      <c r="E5" s="72">
        <v>5400</v>
      </c>
      <c r="F5" s="199"/>
      <c r="G5" s="200"/>
      <c r="H5" s="201"/>
    </row>
    <row r="6" ht="28" customHeight="1" spans="1:8">
      <c r="A6" s="196" t="s">
        <v>1270</v>
      </c>
      <c r="B6" s="197" t="s">
        <v>35</v>
      </c>
      <c r="C6" s="196" t="s">
        <v>1279</v>
      </c>
      <c r="D6" s="203" t="s">
        <v>1280</v>
      </c>
      <c r="E6" s="72">
        <v>107910</v>
      </c>
      <c r="F6" s="199"/>
      <c r="G6" s="200"/>
      <c r="H6" s="201"/>
    </row>
    <row r="7" ht="45" customHeight="1" spans="1:8">
      <c r="A7" s="196" t="s">
        <v>1270</v>
      </c>
      <c r="B7" s="197" t="s">
        <v>35</v>
      </c>
      <c r="C7" s="196" t="s">
        <v>1281</v>
      </c>
      <c r="D7" s="204" t="s">
        <v>1282</v>
      </c>
      <c r="E7" s="72">
        <v>53910</v>
      </c>
      <c r="F7" s="199"/>
      <c r="G7" s="200"/>
      <c r="H7" s="201"/>
    </row>
    <row r="8" ht="30" customHeight="1" spans="1:8">
      <c r="A8" s="196" t="s">
        <v>1283</v>
      </c>
      <c r="B8" s="197" t="s">
        <v>35</v>
      </c>
      <c r="C8" s="196" t="s">
        <v>1284</v>
      </c>
      <c r="D8" s="204" t="s">
        <v>1285</v>
      </c>
      <c r="E8" s="99">
        <v>153000</v>
      </c>
      <c r="F8" s="199"/>
      <c r="G8" s="200" t="s">
        <v>285</v>
      </c>
      <c r="H8" s="201"/>
    </row>
    <row r="9" ht="28" customHeight="1" spans="1:8">
      <c r="A9" s="196" t="s">
        <v>1283</v>
      </c>
      <c r="B9" s="202" t="s">
        <v>48</v>
      </c>
      <c r="C9" s="196" t="s">
        <v>1286</v>
      </c>
      <c r="D9" s="198" t="s">
        <v>1287</v>
      </c>
      <c r="E9" s="99">
        <v>11900</v>
      </c>
      <c r="F9" s="199"/>
      <c r="G9" s="200" t="s">
        <v>285</v>
      </c>
      <c r="H9" s="201"/>
    </row>
    <row r="10" ht="28" customHeight="1" spans="1:8">
      <c r="A10" s="196" t="s">
        <v>1283</v>
      </c>
      <c r="B10" s="202" t="s">
        <v>48</v>
      </c>
      <c r="C10" s="196" t="s">
        <v>1288</v>
      </c>
      <c r="D10" s="198" t="s">
        <v>1289</v>
      </c>
      <c r="E10" s="99">
        <v>13600</v>
      </c>
      <c r="F10" s="199"/>
      <c r="G10" s="200" t="s">
        <v>285</v>
      </c>
      <c r="H10" s="201"/>
    </row>
    <row r="11" ht="28" customHeight="1" spans="1:8">
      <c r="A11" s="196" t="s">
        <v>1283</v>
      </c>
      <c r="B11" s="202" t="s">
        <v>48</v>
      </c>
      <c r="C11" s="196" t="s">
        <v>1290</v>
      </c>
      <c r="D11" s="198" t="s">
        <v>1291</v>
      </c>
      <c r="E11" s="99">
        <v>28900</v>
      </c>
      <c r="F11" s="199"/>
      <c r="G11" s="200" t="s">
        <v>285</v>
      </c>
      <c r="H11" s="201"/>
    </row>
    <row r="12" ht="28" customHeight="1" spans="1:8">
      <c r="A12" s="196" t="s">
        <v>1283</v>
      </c>
      <c r="B12" s="202" t="s">
        <v>48</v>
      </c>
      <c r="C12" s="196" t="s">
        <v>1292</v>
      </c>
      <c r="D12" s="198" t="s">
        <v>1293</v>
      </c>
      <c r="E12" s="99">
        <v>68000</v>
      </c>
      <c r="F12" s="199"/>
      <c r="G12" s="200" t="s">
        <v>285</v>
      </c>
      <c r="H12" s="201"/>
    </row>
    <row r="13" ht="28" customHeight="1" spans="1:8">
      <c r="A13" s="196" t="s">
        <v>1283</v>
      </c>
      <c r="B13" s="197" t="s">
        <v>35</v>
      </c>
      <c r="C13" s="196" t="s">
        <v>1294</v>
      </c>
      <c r="D13" s="198" t="s">
        <v>1295</v>
      </c>
      <c r="E13" s="99">
        <v>83300</v>
      </c>
      <c r="F13" s="199"/>
      <c r="G13" s="200" t="s">
        <v>285</v>
      </c>
      <c r="H13" s="201"/>
    </row>
    <row r="14" ht="28" customHeight="1" spans="1:8">
      <c r="A14" s="196" t="s">
        <v>1283</v>
      </c>
      <c r="B14" s="197" t="s">
        <v>35</v>
      </c>
      <c r="C14" s="196" t="s">
        <v>1296</v>
      </c>
      <c r="D14" s="198" t="s">
        <v>1297</v>
      </c>
      <c r="E14" s="99">
        <v>110500</v>
      </c>
      <c r="F14" s="199"/>
      <c r="G14" s="200" t="s">
        <v>285</v>
      </c>
      <c r="H14" s="201"/>
    </row>
    <row r="15" ht="28" customHeight="1" spans="1:8">
      <c r="A15" s="196" t="s">
        <v>1283</v>
      </c>
      <c r="B15" s="197" t="s">
        <v>35</v>
      </c>
      <c r="C15" s="196" t="s">
        <v>1298</v>
      </c>
      <c r="D15" s="198" t="s">
        <v>1299</v>
      </c>
      <c r="E15" s="99">
        <v>170000</v>
      </c>
      <c r="F15" s="199"/>
      <c r="G15" s="200" t="s">
        <v>285</v>
      </c>
      <c r="H15" s="201"/>
    </row>
    <row r="16" ht="28" customHeight="1" spans="1:8">
      <c r="A16" s="196" t="s">
        <v>1283</v>
      </c>
      <c r="B16" s="202" t="s">
        <v>48</v>
      </c>
      <c r="C16" s="196" t="s">
        <v>1300</v>
      </c>
      <c r="D16" s="198" t="s">
        <v>1301</v>
      </c>
      <c r="E16" s="99">
        <v>17000</v>
      </c>
      <c r="F16" s="199"/>
      <c r="G16" s="200" t="s">
        <v>285</v>
      </c>
      <c r="H16" s="201"/>
    </row>
    <row r="17" ht="28" customHeight="1" spans="1:8">
      <c r="A17" s="196" t="s">
        <v>1283</v>
      </c>
      <c r="B17" s="202" t="s">
        <v>48</v>
      </c>
      <c r="C17" s="196" t="s">
        <v>1302</v>
      </c>
      <c r="D17" s="198" t="s">
        <v>1303</v>
      </c>
      <c r="E17" s="99">
        <v>25500</v>
      </c>
      <c r="F17" s="199"/>
      <c r="G17" s="200" t="s">
        <v>285</v>
      </c>
      <c r="H17" s="201"/>
    </row>
    <row r="18" ht="28" customHeight="1" spans="1:8">
      <c r="A18" s="196" t="s">
        <v>1270</v>
      </c>
      <c r="B18" s="202" t="s">
        <v>48</v>
      </c>
      <c r="C18" s="196" t="s">
        <v>1304</v>
      </c>
      <c r="D18" s="198" t="s">
        <v>1305</v>
      </c>
      <c r="E18" s="99">
        <v>14960</v>
      </c>
      <c r="F18" s="199"/>
      <c r="G18" s="200" t="s">
        <v>285</v>
      </c>
      <c r="H18" s="201"/>
    </row>
    <row r="19" ht="28" customHeight="1" spans="1:8">
      <c r="A19" s="196" t="s">
        <v>1270</v>
      </c>
      <c r="B19" s="202" t="s">
        <v>48</v>
      </c>
      <c r="C19" s="196" t="s">
        <v>1306</v>
      </c>
      <c r="D19" s="198" t="s">
        <v>1307</v>
      </c>
      <c r="E19" s="99">
        <v>23800</v>
      </c>
      <c r="F19" s="199"/>
      <c r="G19" s="200" t="s">
        <v>285</v>
      </c>
      <c r="H19" s="201"/>
    </row>
    <row r="20" ht="28" customHeight="1" spans="1:8">
      <c r="A20" s="196" t="s">
        <v>1270</v>
      </c>
      <c r="B20" s="202" t="s">
        <v>48</v>
      </c>
      <c r="C20" s="196" t="s">
        <v>1308</v>
      </c>
      <c r="D20" s="198" t="s">
        <v>1309</v>
      </c>
      <c r="E20" s="99">
        <v>14960</v>
      </c>
      <c r="F20" s="199"/>
      <c r="G20" s="200" t="s">
        <v>285</v>
      </c>
      <c r="H20" s="201"/>
    </row>
    <row r="21" ht="28" customHeight="1" spans="1:8">
      <c r="A21" s="196" t="s">
        <v>1270</v>
      </c>
      <c r="B21" s="202" t="s">
        <v>48</v>
      </c>
      <c r="C21" s="196" t="s">
        <v>1310</v>
      </c>
      <c r="D21" s="198" t="s">
        <v>1311</v>
      </c>
      <c r="E21" s="99">
        <v>23800</v>
      </c>
      <c r="F21" s="199"/>
      <c r="G21" s="200" t="s">
        <v>285</v>
      </c>
      <c r="H21" s="201"/>
    </row>
    <row r="22" ht="28" customHeight="1" spans="1:8">
      <c r="A22" s="197" t="s">
        <v>1312</v>
      </c>
      <c r="B22" s="197" t="s">
        <v>31</v>
      </c>
      <c r="C22" s="197" t="s">
        <v>1313</v>
      </c>
      <c r="D22" s="198" t="s">
        <v>1314</v>
      </c>
      <c r="E22" s="205">
        <v>4528</v>
      </c>
      <c r="F22" s="199"/>
      <c r="G22" s="197"/>
      <c r="H22" s="206"/>
    </row>
    <row r="23" ht="30" customHeight="1" spans="1:8">
      <c r="A23" s="197" t="s">
        <v>1312</v>
      </c>
      <c r="B23" s="197" t="s">
        <v>31</v>
      </c>
      <c r="C23" s="197" t="s">
        <v>1315</v>
      </c>
      <c r="D23" s="198" t="s">
        <v>1316</v>
      </c>
      <c r="E23" s="205">
        <v>8150</v>
      </c>
      <c r="F23" s="199"/>
      <c r="G23" s="197"/>
      <c r="H23" s="206"/>
    </row>
    <row r="24" ht="44" customHeight="1" spans="1:8">
      <c r="A24" s="197" t="s">
        <v>1312</v>
      </c>
      <c r="B24" s="197" t="s">
        <v>35</v>
      </c>
      <c r="C24" s="197" t="s">
        <v>1317</v>
      </c>
      <c r="D24" s="198" t="s">
        <v>1318</v>
      </c>
      <c r="E24" s="205">
        <v>5343</v>
      </c>
      <c r="F24" s="199"/>
      <c r="G24" s="197"/>
      <c r="H24" s="206"/>
    </row>
    <row r="25" ht="44" customHeight="1" spans="1:8">
      <c r="A25" s="197" t="s">
        <v>1312</v>
      </c>
      <c r="B25" s="197" t="s">
        <v>35</v>
      </c>
      <c r="C25" s="197" t="s">
        <v>1319</v>
      </c>
      <c r="D25" s="198" t="s">
        <v>1320</v>
      </c>
      <c r="E25" s="205">
        <v>5343</v>
      </c>
      <c r="F25" s="199"/>
      <c r="G25" s="197"/>
      <c r="H25" s="206"/>
    </row>
    <row r="26" ht="28" customHeight="1" spans="1:8">
      <c r="A26" s="197" t="s">
        <v>1312</v>
      </c>
      <c r="B26" s="197" t="s">
        <v>35</v>
      </c>
      <c r="C26" s="197" t="s">
        <v>1321</v>
      </c>
      <c r="D26" s="198" t="s">
        <v>1322</v>
      </c>
      <c r="E26" s="205">
        <v>2626</v>
      </c>
      <c r="F26" s="199"/>
      <c r="G26" s="197"/>
      <c r="H26" s="206"/>
    </row>
    <row r="27" ht="28" customHeight="1" spans="1:8">
      <c r="A27" s="197" t="s">
        <v>1312</v>
      </c>
      <c r="B27" s="197" t="s">
        <v>35</v>
      </c>
      <c r="C27" s="197" t="s">
        <v>1323</v>
      </c>
      <c r="D27" s="198" t="s">
        <v>1324</v>
      </c>
      <c r="E27" s="205">
        <v>5959</v>
      </c>
      <c r="F27" s="199"/>
      <c r="G27" s="197"/>
      <c r="H27" s="206"/>
    </row>
    <row r="28" ht="44" customHeight="1" spans="1:8">
      <c r="A28" s="197" t="s">
        <v>1325</v>
      </c>
      <c r="B28" s="197" t="s">
        <v>35</v>
      </c>
      <c r="C28" s="197" t="s">
        <v>1326</v>
      </c>
      <c r="D28" s="198" t="s">
        <v>1327</v>
      </c>
      <c r="E28" s="205">
        <v>23455</v>
      </c>
      <c r="F28" s="199"/>
      <c r="G28" s="197"/>
      <c r="H28" s="206"/>
    </row>
    <row r="29" ht="44" customHeight="1" spans="1:8">
      <c r="A29" s="197" t="s">
        <v>1325</v>
      </c>
      <c r="B29" s="197" t="s">
        <v>35</v>
      </c>
      <c r="C29" s="197" t="s">
        <v>1328</v>
      </c>
      <c r="D29" s="198" t="s">
        <v>1329</v>
      </c>
      <c r="E29" s="205">
        <v>23455</v>
      </c>
      <c r="F29" s="199"/>
      <c r="G29" s="197"/>
      <c r="H29" s="206"/>
    </row>
    <row r="30" ht="30" customHeight="1" spans="1:8">
      <c r="A30" s="197" t="s">
        <v>1330</v>
      </c>
      <c r="B30" s="197" t="s">
        <v>31</v>
      </c>
      <c r="C30" s="197" t="s">
        <v>1331</v>
      </c>
      <c r="D30" s="198" t="s">
        <v>1332</v>
      </c>
      <c r="E30" s="205">
        <v>28980</v>
      </c>
      <c r="F30" s="199"/>
      <c r="G30" s="197"/>
      <c r="H30" s="206"/>
    </row>
    <row r="31" ht="30" customHeight="1" spans="1:8">
      <c r="A31" s="197" t="s">
        <v>1330</v>
      </c>
      <c r="B31" s="197" t="s">
        <v>31</v>
      </c>
      <c r="C31" s="197" t="s">
        <v>1333</v>
      </c>
      <c r="D31" s="198" t="s">
        <v>1334</v>
      </c>
      <c r="E31" s="205">
        <v>28980</v>
      </c>
      <c r="F31" s="199"/>
      <c r="G31" s="197"/>
      <c r="H31" s="206"/>
    </row>
    <row r="32" ht="30" customHeight="1" spans="1:8">
      <c r="A32" s="197" t="s">
        <v>1330</v>
      </c>
      <c r="B32" s="197" t="s">
        <v>31</v>
      </c>
      <c r="C32" s="197" t="s">
        <v>1335</v>
      </c>
      <c r="D32" s="198" t="s">
        <v>1336</v>
      </c>
      <c r="E32" s="205">
        <v>39847</v>
      </c>
      <c r="F32" s="199"/>
      <c r="G32" s="197"/>
      <c r="H32" s="206"/>
    </row>
    <row r="33" ht="30" customHeight="1" spans="1:8">
      <c r="A33" s="197" t="s">
        <v>1330</v>
      </c>
      <c r="B33" s="197" t="s">
        <v>31</v>
      </c>
      <c r="C33" s="197" t="s">
        <v>1337</v>
      </c>
      <c r="D33" s="198" t="s">
        <v>1338</v>
      </c>
      <c r="E33" s="205">
        <v>94185</v>
      </c>
      <c r="F33" s="199"/>
      <c r="G33" s="197"/>
      <c r="H33" s="206"/>
    </row>
    <row r="34" ht="30" customHeight="1" spans="1:8">
      <c r="A34" s="197" t="s">
        <v>1330</v>
      </c>
      <c r="B34" s="197" t="s">
        <v>31</v>
      </c>
      <c r="C34" s="197" t="s">
        <v>1339</v>
      </c>
      <c r="D34" s="198" t="s">
        <v>1340</v>
      </c>
      <c r="E34" s="205">
        <v>12588</v>
      </c>
      <c r="F34" s="199"/>
      <c r="G34" s="197"/>
      <c r="H34" s="206"/>
    </row>
    <row r="35" ht="45" customHeight="1" spans="1:8">
      <c r="A35" s="197" t="s">
        <v>1330</v>
      </c>
      <c r="B35" s="197" t="s">
        <v>31</v>
      </c>
      <c r="C35" s="197" t="s">
        <v>1341</v>
      </c>
      <c r="D35" s="198" t="s">
        <v>1342</v>
      </c>
      <c r="E35" s="205">
        <v>8150</v>
      </c>
      <c r="F35" s="199"/>
      <c r="G35" s="197"/>
      <c r="H35" s="206"/>
    </row>
    <row r="36" ht="51" customHeight="1" spans="1:8">
      <c r="A36" s="197" t="s">
        <v>1330</v>
      </c>
      <c r="B36" s="202" t="s">
        <v>31</v>
      </c>
      <c r="C36" s="197" t="s">
        <v>1343</v>
      </c>
      <c r="D36" s="198" t="s">
        <v>1344</v>
      </c>
      <c r="E36" s="205">
        <v>8150</v>
      </c>
      <c r="F36" s="199"/>
      <c r="G36" s="197"/>
      <c r="H36" s="206"/>
    </row>
    <row r="37" ht="30" customHeight="1" spans="1:8">
      <c r="A37" s="197" t="s">
        <v>1345</v>
      </c>
      <c r="B37" s="197" t="s">
        <v>31</v>
      </c>
      <c r="C37" s="197" t="s">
        <v>1346</v>
      </c>
      <c r="D37" s="198" t="s">
        <v>1347</v>
      </c>
      <c r="E37" s="205">
        <v>9418</v>
      </c>
      <c r="F37" s="199"/>
      <c r="G37" s="197"/>
      <c r="H37" s="206"/>
    </row>
    <row r="38" ht="30" customHeight="1" spans="1:8">
      <c r="A38" s="197" t="s">
        <v>1345</v>
      </c>
      <c r="B38" s="197" t="s">
        <v>31</v>
      </c>
      <c r="C38" s="197" t="s">
        <v>1348</v>
      </c>
      <c r="D38" s="198" t="s">
        <v>1349</v>
      </c>
      <c r="E38" s="205">
        <v>271596</v>
      </c>
      <c r="F38" s="199"/>
      <c r="G38" s="197"/>
      <c r="H38" s="206"/>
    </row>
    <row r="39" ht="45" customHeight="1" spans="1:8">
      <c r="A39" s="197" t="s">
        <v>1330</v>
      </c>
      <c r="B39" s="197" t="s">
        <v>35</v>
      </c>
      <c r="C39" s="197" t="s">
        <v>1350</v>
      </c>
      <c r="D39" s="198" t="s">
        <v>1351</v>
      </c>
      <c r="E39" s="205">
        <v>25357</v>
      </c>
      <c r="F39" s="199"/>
      <c r="G39" s="197"/>
      <c r="H39" s="206"/>
    </row>
    <row r="40" ht="45" customHeight="1" spans="1:8">
      <c r="A40" s="197" t="s">
        <v>1330</v>
      </c>
      <c r="B40" s="197" t="s">
        <v>35</v>
      </c>
      <c r="C40" s="197" t="s">
        <v>1352</v>
      </c>
      <c r="D40" s="198" t="s">
        <v>1353</v>
      </c>
      <c r="E40" s="205">
        <v>32602</v>
      </c>
      <c r="F40" s="199"/>
      <c r="G40" s="197"/>
      <c r="H40" s="206"/>
    </row>
    <row r="41" ht="45" customHeight="1" spans="1:8">
      <c r="A41" s="197" t="s">
        <v>1330</v>
      </c>
      <c r="B41" s="197" t="s">
        <v>35</v>
      </c>
      <c r="C41" s="197" t="s">
        <v>1354</v>
      </c>
      <c r="D41" s="198" t="s">
        <v>1355</v>
      </c>
      <c r="E41" s="205">
        <v>68827</v>
      </c>
      <c r="F41" s="199"/>
      <c r="G41" s="197"/>
      <c r="H41" s="206"/>
    </row>
    <row r="42" ht="45" customHeight="1" spans="1:8">
      <c r="A42" s="197" t="s">
        <v>1330</v>
      </c>
      <c r="B42" s="197" t="s">
        <v>35</v>
      </c>
      <c r="C42" s="197" t="s">
        <v>1356</v>
      </c>
      <c r="D42" s="198" t="s">
        <v>1357</v>
      </c>
      <c r="E42" s="205">
        <v>25357</v>
      </c>
      <c r="F42" s="199"/>
      <c r="G42" s="197"/>
      <c r="H42" s="206"/>
    </row>
    <row r="43" ht="45" customHeight="1" spans="1:8">
      <c r="A43" s="197" t="s">
        <v>1330</v>
      </c>
      <c r="B43" s="197" t="s">
        <v>35</v>
      </c>
      <c r="C43" s="197" t="s">
        <v>1358</v>
      </c>
      <c r="D43" s="198" t="s">
        <v>1359</v>
      </c>
      <c r="E43" s="205">
        <v>32602</v>
      </c>
      <c r="F43" s="199"/>
      <c r="G43" s="197"/>
      <c r="H43" s="206"/>
    </row>
    <row r="44" ht="45" customHeight="1" spans="1:8">
      <c r="A44" s="197" t="s">
        <v>1330</v>
      </c>
      <c r="B44" s="197" t="s">
        <v>35</v>
      </c>
      <c r="C44" s="197" t="s">
        <v>1360</v>
      </c>
      <c r="D44" s="198" t="s">
        <v>1361</v>
      </c>
      <c r="E44" s="205">
        <v>68827</v>
      </c>
      <c r="F44" s="199"/>
      <c r="G44" s="197"/>
      <c r="H44" s="206"/>
    </row>
    <row r="45" ht="30" customHeight="1" spans="1:8">
      <c r="A45" s="197" t="s">
        <v>1330</v>
      </c>
      <c r="B45" s="197" t="s">
        <v>35</v>
      </c>
      <c r="C45" s="197" t="s">
        <v>1362</v>
      </c>
      <c r="D45" s="198" t="s">
        <v>1363</v>
      </c>
      <c r="E45" s="205">
        <v>36134</v>
      </c>
      <c r="F45" s="199"/>
      <c r="G45" s="197"/>
      <c r="H45" s="206"/>
    </row>
    <row r="46" ht="30" customHeight="1" spans="1:8">
      <c r="A46" s="197" t="s">
        <v>1330</v>
      </c>
      <c r="B46" s="197" t="s">
        <v>35</v>
      </c>
      <c r="C46" s="197" t="s">
        <v>1364</v>
      </c>
      <c r="D46" s="198" t="s">
        <v>1365</v>
      </c>
      <c r="E46" s="205">
        <v>54246</v>
      </c>
      <c r="F46" s="199"/>
      <c r="G46" s="197"/>
      <c r="H46" s="206"/>
    </row>
    <row r="47" ht="30" customHeight="1" spans="1:8">
      <c r="A47" s="197" t="s">
        <v>1330</v>
      </c>
      <c r="B47" s="197" t="s">
        <v>35</v>
      </c>
      <c r="C47" s="197" t="s">
        <v>1366</v>
      </c>
      <c r="D47" s="198" t="s">
        <v>1367</v>
      </c>
      <c r="E47" s="205">
        <v>8150</v>
      </c>
      <c r="F47" s="199"/>
      <c r="G47" s="197"/>
      <c r="H47" s="206"/>
    </row>
    <row r="48" ht="45" customHeight="1" spans="1:8">
      <c r="A48" s="197" t="s">
        <v>1330</v>
      </c>
      <c r="B48" s="197" t="s">
        <v>35</v>
      </c>
      <c r="C48" s="197" t="s">
        <v>1368</v>
      </c>
      <c r="D48" s="198" t="s">
        <v>1369</v>
      </c>
      <c r="E48" s="205">
        <v>4528</v>
      </c>
      <c r="F48" s="199"/>
      <c r="G48" s="197"/>
      <c r="H48" s="206"/>
    </row>
    <row r="49" ht="45" customHeight="1" spans="1:9">
      <c r="A49" s="197" t="s">
        <v>1330</v>
      </c>
      <c r="B49" s="197" t="s">
        <v>35</v>
      </c>
      <c r="C49" s="197" t="s">
        <v>1370</v>
      </c>
      <c r="D49" s="198" t="s">
        <v>1371</v>
      </c>
      <c r="E49" s="205">
        <v>5343</v>
      </c>
      <c r="F49" s="199"/>
      <c r="G49" s="197"/>
      <c r="H49" s="114"/>
    </row>
    <row r="50" ht="30" customHeight="1" spans="1:9">
      <c r="A50" s="197" t="s">
        <v>1372</v>
      </c>
      <c r="B50" s="197" t="s">
        <v>35</v>
      </c>
      <c r="C50" s="197" t="s">
        <v>1373</v>
      </c>
      <c r="D50" s="198" t="s">
        <v>1374</v>
      </c>
      <c r="E50" s="205">
        <v>5343</v>
      </c>
      <c r="F50" s="199"/>
      <c r="G50" s="197"/>
      <c r="H50" s="206"/>
    </row>
    <row r="51" ht="29" customHeight="1" spans="1:9">
      <c r="A51" s="197" t="s">
        <v>1345</v>
      </c>
      <c r="B51" s="197" t="s">
        <v>31</v>
      </c>
      <c r="C51" s="197" t="s">
        <v>1375</v>
      </c>
      <c r="D51" s="198" t="s">
        <v>1376</v>
      </c>
      <c r="E51" s="205">
        <v>188279</v>
      </c>
      <c r="F51" s="199"/>
      <c r="G51" s="197"/>
      <c r="H51" s="206"/>
    </row>
    <row r="52" ht="29" customHeight="1" spans="1:9">
      <c r="A52" s="197" t="s">
        <v>1345</v>
      </c>
      <c r="B52" s="197" t="s">
        <v>31</v>
      </c>
      <c r="C52" s="197" t="s">
        <v>1377</v>
      </c>
      <c r="D52" s="198" t="s">
        <v>1378</v>
      </c>
      <c r="E52" s="205">
        <v>72359</v>
      </c>
      <c r="F52" s="199"/>
      <c r="G52" s="197"/>
      <c r="H52" s="206"/>
    </row>
    <row r="53" ht="28" customHeight="1" spans="1:9">
      <c r="A53" s="197" t="s">
        <v>1345</v>
      </c>
      <c r="B53" s="197" t="s">
        <v>48</v>
      </c>
      <c r="C53" s="197" t="s">
        <v>1218</v>
      </c>
      <c r="D53" s="198" t="s">
        <v>1379</v>
      </c>
      <c r="E53" s="205">
        <v>2652</v>
      </c>
      <c r="F53" s="199"/>
      <c r="G53" s="207"/>
      <c r="H53" s="206"/>
    </row>
    <row r="54" ht="28" customHeight="1" spans="1:9">
      <c r="A54" s="197" t="s">
        <v>1345</v>
      </c>
      <c r="B54" s="197" t="s">
        <v>48</v>
      </c>
      <c r="C54" s="197" t="s">
        <v>906</v>
      </c>
      <c r="D54" s="198" t="s">
        <v>1380</v>
      </c>
      <c r="E54" s="205">
        <v>2716</v>
      </c>
      <c r="F54" s="199"/>
      <c r="G54" s="197"/>
      <c r="H54" s="206"/>
    </row>
    <row r="55" ht="28" customHeight="1" spans="1:9">
      <c r="A55" s="197" t="s">
        <v>1345</v>
      </c>
      <c r="B55" s="197" t="s">
        <v>48</v>
      </c>
      <c r="C55" s="197" t="s">
        <v>908</v>
      </c>
      <c r="D55" s="198" t="s">
        <v>1381</v>
      </c>
      <c r="E55" s="205">
        <v>3622</v>
      </c>
      <c r="F55" s="199"/>
      <c r="G55" s="197"/>
      <c r="H55" s="206"/>
    </row>
    <row r="56" ht="28" customHeight="1" spans="1:9">
      <c r="A56" s="197" t="s">
        <v>1345</v>
      </c>
      <c r="B56" s="197" t="s">
        <v>48</v>
      </c>
      <c r="C56" s="197" t="s">
        <v>910</v>
      </c>
      <c r="D56" s="198" t="s">
        <v>1382</v>
      </c>
      <c r="E56" s="205">
        <v>5433</v>
      </c>
      <c r="F56" s="199"/>
      <c r="G56" s="197"/>
      <c r="H56" s="206"/>
    </row>
    <row r="57" ht="28" customHeight="1" spans="1:9">
      <c r="A57" s="197" t="s">
        <v>1345</v>
      </c>
      <c r="B57" s="202" t="s">
        <v>48</v>
      </c>
      <c r="C57" s="197" t="s">
        <v>1383</v>
      </c>
      <c r="D57" s="198" t="s">
        <v>1384</v>
      </c>
      <c r="E57" s="205">
        <v>2716.5</v>
      </c>
      <c r="F57" s="199"/>
      <c r="G57" s="206"/>
      <c r="H57" s="114"/>
    </row>
    <row r="58" ht="28" customHeight="1" spans="1:9">
      <c r="A58" s="197" t="s">
        <v>1345</v>
      </c>
      <c r="B58" s="197" t="s">
        <v>48</v>
      </c>
      <c r="C58" s="197" t="s">
        <v>1385</v>
      </c>
      <c r="D58" s="198" t="s">
        <v>1386</v>
      </c>
      <c r="E58" s="205">
        <v>3622</v>
      </c>
      <c r="F58" s="199"/>
      <c r="G58" s="206"/>
      <c r="H58" s="114"/>
    </row>
    <row r="59" ht="28" customHeight="1" spans="1:9">
      <c r="A59" s="197" t="s">
        <v>1345</v>
      </c>
      <c r="B59" s="197" t="s">
        <v>48</v>
      </c>
      <c r="C59" s="197" t="s">
        <v>1387</v>
      </c>
      <c r="D59" s="198" t="s">
        <v>1388</v>
      </c>
      <c r="E59" s="205">
        <v>5433</v>
      </c>
      <c r="F59" s="199"/>
      <c r="G59" s="206"/>
      <c r="H59" s="114"/>
    </row>
    <row r="60" ht="29" customHeight="1" spans="1:9">
      <c r="A60" s="197" t="s">
        <v>1345</v>
      </c>
      <c r="B60" s="197" t="s">
        <v>35</v>
      </c>
      <c r="C60" s="197" t="s">
        <v>1389</v>
      </c>
      <c r="D60" s="198" t="s">
        <v>1376</v>
      </c>
      <c r="E60" s="205">
        <v>108584</v>
      </c>
      <c r="F60" s="199"/>
      <c r="G60" s="197"/>
      <c r="H60" s="206"/>
    </row>
    <row r="61" s="189" customFormat="1" ht="30" customHeight="1" spans="1:9">
      <c r="A61" s="197" t="s">
        <v>1345</v>
      </c>
      <c r="B61" s="197" t="s">
        <v>35</v>
      </c>
      <c r="C61" s="197" t="s">
        <v>1390</v>
      </c>
      <c r="D61" s="208" t="s">
        <v>1391</v>
      </c>
      <c r="E61" s="205">
        <v>72359</v>
      </c>
      <c r="F61" s="199"/>
      <c r="G61" s="197"/>
      <c r="H61" s="206"/>
      <c r="I61" s="194"/>
    </row>
    <row r="62" ht="30" customHeight="1" spans="1:9">
      <c r="A62" s="197" t="s">
        <v>1345</v>
      </c>
      <c r="B62" s="197" t="s">
        <v>35</v>
      </c>
      <c r="C62" s="197" t="s">
        <v>1392</v>
      </c>
      <c r="D62" s="198" t="s">
        <v>1393</v>
      </c>
      <c r="E62" s="205">
        <v>36134</v>
      </c>
      <c r="F62" s="199"/>
      <c r="G62" s="197"/>
      <c r="H62" s="206"/>
    </row>
    <row r="63" ht="29" customHeight="1" spans="1:9">
      <c r="A63" s="197" t="s">
        <v>1345</v>
      </c>
      <c r="B63" s="197" t="s">
        <v>35</v>
      </c>
      <c r="C63" s="197" t="s">
        <v>1394</v>
      </c>
      <c r="D63" s="198" t="s">
        <v>1395</v>
      </c>
      <c r="E63" s="205">
        <v>34413</v>
      </c>
      <c r="F63" s="199"/>
      <c r="G63" s="197"/>
      <c r="H63" s="206"/>
    </row>
    <row r="64" ht="30" customHeight="1" spans="1:9">
      <c r="A64" s="197" t="s">
        <v>1345</v>
      </c>
      <c r="B64" s="197" t="s">
        <v>35</v>
      </c>
      <c r="C64" s="197" t="s">
        <v>1396</v>
      </c>
      <c r="D64" s="198" t="s">
        <v>1397</v>
      </c>
      <c r="E64" s="205">
        <v>18021</v>
      </c>
      <c r="F64" s="199"/>
      <c r="G64" s="197"/>
      <c r="H64" s="206"/>
    </row>
    <row r="65" ht="29" customHeight="1" spans="1:9">
      <c r="A65" s="197" t="s">
        <v>1345</v>
      </c>
      <c r="B65" s="197" t="s">
        <v>35</v>
      </c>
      <c r="C65" s="197" t="s">
        <v>1398</v>
      </c>
      <c r="D65" s="198" t="s">
        <v>1399</v>
      </c>
      <c r="E65" s="205">
        <v>12678</v>
      </c>
      <c r="F65" s="199"/>
      <c r="G65" s="197"/>
      <c r="H65" s="206"/>
    </row>
    <row r="66" s="189" customFormat="1" ht="45" customHeight="1" spans="1:9">
      <c r="A66" s="197" t="s">
        <v>1345</v>
      </c>
      <c r="B66" s="197" t="s">
        <v>35</v>
      </c>
      <c r="C66" s="197" t="s">
        <v>1400</v>
      </c>
      <c r="D66" s="209" t="s">
        <v>1401</v>
      </c>
      <c r="E66" s="205">
        <v>22640</v>
      </c>
      <c r="F66" s="199"/>
      <c r="G66" s="197"/>
      <c r="H66" s="114"/>
      <c r="I66" s="194"/>
    </row>
    <row r="67" ht="29" customHeight="1" spans="1:9">
      <c r="A67" s="197" t="s">
        <v>1345</v>
      </c>
      <c r="B67" s="197" t="s">
        <v>35</v>
      </c>
      <c r="C67" s="197" t="s">
        <v>1402</v>
      </c>
      <c r="D67" s="198" t="s">
        <v>1403</v>
      </c>
      <c r="E67" s="205">
        <v>271596</v>
      </c>
      <c r="F67" s="199"/>
      <c r="G67" s="197"/>
      <c r="H67" s="206"/>
    </row>
    <row r="68" ht="30" customHeight="1" spans="1:9">
      <c r="A68" s="197" t="s">
        <v>1345</v>
      </c>
      <c r="B68" s="197" t="s">
        <v>35</v>
      </c>
      <c r="C68" s="197" t="s">
        <v>1404</v>
      </c>
      <c r="D68" s="198" t="s">
        <v>1405</v>
      </c>
      <c r="E68" s="205">
        <v>65205</v>
      </c>
      <c r="F68" s="199"/>
      <c r="G68" s="197"/>
      <c r="H68" s="114"/>
    </row>
    <row r="69" ht="30" customHeight="1" spans="1:9">
      <c r="A69" s="197" t="s">
        <v>1345</v>
      </c>
      <c r="B69" s="197" t="s">
        <v>35</v>
      </c>
      <c r="C69" s="197" t="s">
        <v>1406</v>
      </c>
      <c r="D69" s="198" t="s">
        <v>1407</v>
      </c>
      <c r="E69" s="205">
        <v>65205</v>
      </c>
      <c r="F69" s="199"/>
      <c r="G69" s="197"/>
      <c r="H69" s="114"/>
    </row>
    <row r="70" ht="30" customHeight="1" spans="1:9">
      <c r="A70" s="197" t="s">
        <v>1345</v>
      </c>
      <c r="B70" s="197" t="s">
        <v>35</v>
      </c>
      <c r="C70" s="197" t="s">
        <v>1408</v>
      </c>
      <c r="D70" s="198" t="s">
        <v>1409</v>
      </c>
      <c r="E70" s="205">
        <v>115920</v>
      </c>
      <c r="F70" s="199"/>
      <c r="G70" s="197"/>
      <c r="H70" s="206"/>
    </row>
    <row r="71" ht="28" customHeight="1" spans="1:9">
      <c r="A71" s="197" t="s">
        <v>1410</v>
      </c>
      <c r="B71" s="197" t="s">
        <v>48</v>
      </c>
      <c r="C71" s="196" t="s">
        <v>1411</v>
      </c>
      <c r="D71" s="198" t="s">
        <v>1412</v>
      </c>
      <c r="E71" s="72">
        <v>8100</v>
      </c>
      <c r="F71" s="199"/>
      <c r="G71" s="200"/>
      <c r="H71" s="201"/>
    </row>
    <row r="72" ht="28" customHeight="1" spans="1:9">
      <c r="A72" s="197" t="s">
        <v>1410</v>
      </c>
      <c r="B72" s="197" t="s">
        <v>48</v>
      </c>
      <c r="C72" s="196" t="s">
        <v>1413</v>
      </c>
      <c r="D72" s="198" t="s">
        <v>1414</v>
      </c>
      <c r="E72" s="72">
        <v>9900</v>
      </c>
      <c r="F72" s="199"/>
      <c r="G72" s="200"/>
      <c r="H72" s="201"/>
    </row>
    <row r="73" ht="28" customHeight="1" spans="1:9">
      <c r="A73" s="197" t="s">
        <v>1410</v>
      </c>
      <c r="B73" s="197" t="s">
        <v>48</v>
      </c>
      <c r="C73" s="196" t="s">
        <v>1415</v>
      </c>
      <c r="D73" s="198" t="s">
        <v>1416</v>
      </c>
      <c r="E73" s="72">
        <v>5400</v>
      </c>
      <c r="F73" s="199"/>
      <c r="G73" s="200"/>
      <c r="H73" s="201"/>
    </row>
    <row r="74" ht="28" customHeight="1" spans="1:9">
      <c r="A74" s="197" t="s">
        <v>1410</v>
      </c>
      <c r="B74" s="197" t="s">
        <v>35</v>
      </c>
      <c r="C74" s="196" t="s">
        <v>1417</v>
      </c>
      <c r="D74" s="204" t="s">
        <v>1418</v>
      </c>
      <c r="E74" s="72">
        <v>27000</v>
      </c>
      <c r="F74" s="199"/>
      <c r="G74" s="200"/>
      <c r="H74" s="201"/>
    </row>
    <row r="75" ht="30" customHeight="1" spans="1:9">
      <c r="A75" s="197" t="s">
        <v>1410</v>
      </c>
      <c r="B75" s="197" t="s">
        <v>35</v>
      </c>
      <c r="C75" s="196" t="s">
        <v>1419</v>
      </c>
      <c r="D75" s="204" t="s">
        <v>1420</v>
      </c>
      <c r="E75" s="72">
        <v>53910</v>
      </c>
      <c r="F75" s="199"/>
      <c r="G75" s="200"/>
      <c r="H75" s="201"/>
    </row>
    <row r="76" ht="30" customHeight="1" spans="1:9">
      <c r="A76" s="197" t="s">
        <v>1410</v>
      </c>
      <c r="B76" s="197" t="s">
        <v>35</v>
      </c>
      <c r="C76" s="196" t="s">
        <v>1421</v>
      </c>
      <c r="D76" s="204" t="s">
        <v>1422</v>
      </c>
      <c r="E76" s="72">
        <v>35910</v>
      </c>
      <c r="F76" s="199"/>
      <c r="G76" s="200"/>
      <c r="H76" s="201"/>
    </row>
    <row r="77" ht="42" customHeight="1" spans="1:9">
      <c r="A77" s="197" t="s">
        <v>1423</v>
      </c>
      <c r="B77" s="197" t="s">
        <v>48</v>
      </c>
      <c r="C77" s="197" t="s">
        <v>1424</v>
      </c>
      <c r="D77" s="198" t="s">
        <v>1425</v>
      </c>
      <c r="E77" s="205">
        <v>36225</v>
      </c>
      <c r="F77" s="199"/>
      <c r="G77" s="197"/>
      <c r="H77" s="206"/>
    </row>
    <row r="78" ht="42" customHeight="1" spans="1:9">
      <c r="A78" s="197" t="s">
        <v>1423</v>
      </c>
      <c r="B78" s="197" t="s">
        <v>48</v>
      </c>
      <c r="C78" s="197" t="s">
        <v>1426</v>
      </c>
      <c r="D78" s="198" t="s">
        <v>1427</v>
      </c>
      <c r="E78" s="205">
        <v>8150</v>
      </c>
      <c r="F78" s="199"/>
      <c r="G78" s="197"/>
      <c r="H78" s="206"/>
    </row>
    <row r="79" ht="42" customHeight="1" spans="1:9">
      <c r="A79" s="197" t="s">
        <v>1423</v>
      </c>
      <c r="B79" s="197" t="s">
        <v>48</v>
      </c>
      <c r="C79" s="197" t="s">
        <v>1428</v>
      </c>
      <c r="D79" s="198" t="s">
        <v>1429</v>
      </c>
      <c r="E79" s="205">
        <v>9961</v>
      </c>
      <c r="F79" s="199"/>
      <c r="G79" s="197"/>
      <c r="H79" s="206"/>
    </row>
    <row r="80" ht="42" customHeight="1" spans="1:9">
      <c r="A80" s="197" t="s">
        <v>1423</v>
      </c>
      <c r="B80" s="197" t="s">
        <v>48</v>
      </c>
      <c r="C80" s="197" t="s">
        <v>1430</v>
      </c>
      <c r="D80" s="198" t="s">
        <v>1431</v>
      </c>
      <c r="E80" s="205">
        <v>6339</v>
      </c>
      <c r="F80" s="199"/>
      <c r="G80" s="197"/>
      <c r="H80" s="206"/>
    </row>
    <row r="81" ht="42" customHeight="1" spans="1:9">
      <c r="A81" s="197" t="s">
        <v>1423</v>
      </c>
      <c r="B81" s="197" t="s">
        <v>48</v>
      </c>
      <c r="C81" s="197" t="s">
        <v>1432</v>
      </c>
      <c r="D81" s="198" t="s">
        <v>1433</v>
      </c>
      <c r="E81" s="205">
        <v>11773</v>
      </c>
      <c r="F81" s="199"/>
      <c r="G81" s="197"/>
      <c r="H81" s="206"/>
    </row>
    <row r="82" ht="42" customHeight="1" spans="1:9">
      <c r="A82" s="197" t="s">
        <v>1423</v>
      </c>
      <c r="B82" s="197" t="s">
        <v>35</v>
      </c>
      <c r="C82" s="197" t="s">
        <v>1434</v>
      </c>
      <c r="D82" s="198" t="s">
        <v>1435</v>
      </c>
      <c r="E82" s="205">
        <v>253575</v>
      </c>
      <c r="F82" s="199"/>
      <c r="G82" s="197"/>
      <c r="H82" s="206"/>
    </row>
    <row r="83" ht="42" customHeight="1" spans="1:9">
      <c r="A83" s="197" t="s">
        <v>1423</v>
      </c>
      <c r="B83" s="197" t="s">
        <v>35</v>
      </c>
      <c r="C83" s="197" t="s">
        <v>1436</v>
      </c>
      <c r="D83" s="198" t="s">
        <v>1437</v>
      </c>
      <c r="E83" s="205">
        <v>81506</v>
      </c>
      <c r="F83" s="199"/>
      <c r="G83" s="197"/>
      <c r="H83" s="206"/>
    </row>
    <row r="84" ht="42" customHeight="1" spans="1:9">
      <c r="A84" s="197" t="s">
        <v>1423</v>
      </c>
      <c r="B84" s="197" t="s">
        <v>35</v>
      </c>
      <c r="C84" s="197" t="s">
        <v>1438</v>
      </c>
      <c r="D84" s="198" t="s">
        <v>1439</v>
      </c>
      <c r="E84" s="205">
        <v>27165</v>
      </c>
      <c r="F84" s="199"/>
      <c r="G84" s="197"/>
      <c r="H84" s="206"/>
    </row>
    <row r="85" s="189" customFormat="1" ht="42" customHeight="1" spans="1:9">
      <c r="A85" s="197" t="s">
        <v>1423</v>
      </c>
      <c r="B85" s="197" t="s">
        <v>48</v>
      </c>
      <c r="C85" s="197" t="s">
        <v>1440</v>
      </c>
      <c r="D85" s="198" t="s">
        <v>1441</v>
      </c>
      <c r="E85" s="205">
        <v>4890</v>
      </c>
      <c r="F85" s="199"/>
      <c r="G85" s="197"/>
      <c r="H85" s="206"/>
      <c r="I85" s="194"/>
    </row>
    <row r="86" s="189" customFormat="1" ht="42" customHeight="1" spans="1:9">
      <c r="A86" s="197" t="s">
        <v>1423</v>
      </c>
      <c r="B86" s="197" t="s">
        <v>48</v>
      </c>
      <c r="C86" s="197" t="s">
        <v>1442</v>
      </c>
      <c r="D86" s="198" t="s">
        <v>1443</v>
      </c>
      <c r="E86" s="205">
        <v>6701</v>
      </c>
      <c r="F86" s="199"/>
      <c r="G86" s="197"/>
      <c r="H86" s="206"/>
      <c r="I86" s="194"/>
    </row>
    <row r="87" s="189" customFormat="1" ht="42" customHeight="1" spans="1:9">
      <c r="A87" s="197" t="s">
        <v>1423</v>
      </c>
      <c r="B87" s="197" t="s">
        <v>48</v>
      </c>
      <c r="C87" s="197" t="s">
        <v>1444</v>
      </c>
      <c r="D87" s="198" t="s">
        <v>1445</v>
      </c>
      <c r="E87" s="205">
        <v>7607</v>
      </c>
      <c r="F87" s="199"/>
      <c r="G87" s="197"/>
      <c r="H87" s="206"/>
      <c r="I87" s="194"/>
    </row>
    <row r="88" ht="42" customHeight="1" spans="1:9">
      <c r="A88" s="197" t="s">
        <v>1423</v>
      </c>
      <c r="B88" s="197" t="s">
        <v>35</v>
      </c>
      <c r="C88" s="197" t="s">
        <v>1446</v>
      </c>
      <c r="D88" s="198" t="s">
        <v>1447</v>
      </c>
      <c r="E88" s="205">
        <v>32059</v>
      </c>
      <c r="F88" s="199"/>
      <c r="G88" s="197"/>
      <c r="H88" s="206"/>
    </row>
    <row r="89" ht="42" customHeight="1" spans="1:9">
      <c r="A89" s="197" t="s">
        <v>1423</v>
      </c>
      <c r="B89" s="197" t="s">
        <v>35</v>
      </c>
      <c r="C89" s="197" t="s">
        <v>1448</v>
      </c>
      <c r="D89" s="198" t="s">
        <v>1449</v>
      </c>
      <c r="E89" s="205">
        <v>510772</v>
      </c>
      <c r="F89" s="199"/>
      <c r="G89" s="197"/>
      <c r="H89" s="206"/>
    </row>
    <row r="90" ht="28" customHeight="1" spans="1:9">
      <c r="A90" s="197" t="s">
        <v>1450</v>
      </c>
      <c r="B90" s="197" t="s">
        <v>48</v>
      </c>
      <c r="C90" s="197" t="s">
        <v>1451</v>
      </c>
      <c r="D90" s="198" t="s">
        <v>1452</v>
      </c>
      <c r="E90" s="205">
        <v>14490</v>
      </c>
      <c r="F90" s="199"/>
      <c r="G90" s="197"/>
      <c r="H90" s="206"/>
    </row>
    <row r="91" ht="28" customHeight="1" spans="1:9">
      <c r="A91" s="197" t="s">
        <v>1450</v>
      </c>
      <c r="B91" s="197" t="s">
        <v>48</v>
      </c>
      <c r="C91" s="197" t="s">
        <v>1453</v>
      </c>
      <c r="D91" s="198" t="s">
        <v>1454</v>
      </c>
      <c r="E91" s="205">
        <v>21735</v>
      </c>
      <c r="F91" s="199"/>
      <c r="G91" s="197"/>
      <c r="H91" s="206"/>
    </row>
    <row r="92" ht="28" customHeight="1" spans="1:9">
      <c r="A92" s="197" t="s">
        <v>1450</v>
      </c>
      <c r="B92" s="197" t="s">
        <v>48</v>
      </c>
      <c r="C92" s="197" t="s">
        <v>1455</v>
      </c>
      <c r="D92" s="198" t="s">
        <v>1456</v>
      </c>
      <c r="E92" s="205">
        <v>39847</v>
      </c>
      <c r="F92" s="199"/>
      <c r="G92" s="197"/>
      <c r="H92" s="206"/>
    </row>
    <row r="93" ht="42" customHeight="1" spans="1:9">
      <c r="A93" s="197" t="s">
        <v>1457</v>
      </c>
      <c r="B93" s="197" t="s">
        <v>48</v>
      </c>
      <c r="C93" s="197" t="s">
        <v>1458</v>
      </c>
      <c r="D93" s="198" t="s">
        <v>1459</v>
      </c>
      <c r="E93" s="205">
        <v>45281</v>
      </c>
      <c r="F93" s="199"/>
      <c r="G93" s="197"/>
      <c r="H93" s="206"/>
    </row>
    <row r="94" ht="42" customHeight="1" spans="1:9">
      <c r="A94" s="197" t="s">
        <v>1457</v>
      </c>
      <c r="B94" s="197" t="s">
        <v>48</v>
      </c>
      <c r="C94" s="197" t="s">
        <v>1460</v>
      </c>
      <c r="D94" s="198" t="s">
        <v>1461</v>
      </c>
      <c r="E94" s="205">
        <v>8150</v>
      </c>
      <c r="F94" s="199"/>
      <c r="G94" s="197"/>
      <c r="H94" s="206"/>
    </row>
    <row r="95" ht="42" customHeight="1" spans="1:9">
      <c r="A95" s="197" t="s">
        <v>1457</v>
      </c>
      <c r="B95" s="197" t="s">
        <v>48</v>
      </c>
      <c r="C95" s="197" t="s">
        <v>1462</v>
      </c>
      <c r="D95" s="198" t="s">
        <v>1463</v>
      </c>
      <c r="E95" s="205">
        <v>9961</v>
      </c>
      <c r="F95" s="199"/>
      <c r="G95" s="197"/>
      <c r="H95" s="206"/>
    </row>
    <row r="96" ht="42" customHeight="1" spans="1:9">
      <c r="A96" s="197" t="s">
        <v>1457</v>
      </c>
      <c r="B96" s="197" t="s">
        <v>48</v>
      </c>
      <c r="C96" s="197" t="s">
        <v>1464</v>
      </c>
      <c r="D96" s="198" t="s">
        <v>1465</v>
      </c>
      <c r="E96" s="205">
        <v>12678</v>
      </c>
      <c r="F96" s="199"/>
      <c r="G96" s="197"/>
      <c r="H96" s="206"/>
    </row>
    <row r="97" ht="42" customHeight="1" spans="1:8">
      <c r="A97" s="197" t="s">
        <v>1457</v>
      </c>
      <c r="B97" s="197" t="s">
        <v>35</v>
      </c>
      <c r="C97" s="197" t="s">
        <v>1466</v>
      </c>
      <c r="D97" s="198" t="s">
        <v>1467</v>
      </c>
      <c r="E97" s="72">
        <v>144000</v>
      </c>
      <c r="F97" s="199"/>
      <c r="G97" s="196"/>
      <c r="H97" s="200"/>
    </row>
    <row r="98" ht="42" customHeight="1" spans="1:8">
      <c r="A98" s="197" t="s">
        <v>1457</v>
      </c>
      <c r="B98" s="197" t="s">
        <v>35</v>
      </c>
      <c r="C98" s="197" t="s">
        <v>1468</v>
      </c>
      <c r="D98" s="198" t="s">
        <v>1469</v>
      </c>
      <c r="E98" s="72">
        <v>72000</v>
      </c>
      <c r="F98" s="199"/>
      <c r="G98" s="196"/>
      <c r="H98" s="200"/>
    </row>
    <row r="99" ht="42" customHeight="1" spans="1:8">
      <c r="A99" s="197" t="s">
        <v>1457</v>
      </c>
      <c r="B99" s="197" t="s">
        <v>35</v>
      </c>
      <c r="C99" s="197" t="s">
        <v>1470</v>
      </c>
      <c r="D99" s="198" t="s">
        <v>1471</v>
      </c>
      <c r="E99" s="72">
        <v>652050</v>
      </c>
      <c r="F99" s="199"/>
      <c r="G99" s="196"/>
      <c r="H99" s="200"/>
    </row>
    <row r="100" ht="42" customHeight="1" spans="1:8">
      <c r="A100" s="197" t="s">
        <v>1457</v>
      </c>
      <c r="B100" s="197" t="s">
        <v>35</v>
      </c>
      <c r="C100" s="197" t="s">
        <v>1472</v>
      </c>
      <c r="D100" s="198" t="s">
        <v>1473</v>
      </c>
      <c r="E100" s="72">
        <v>144000</v>
      </c>
      <c r="F100" s="199"/>
      <c r="G100" s="196"/>
      <c r="H100" s="200"/>
    </row>
    <row r="101" ht="42" customHeight="1" spans="1:8">
      <c r="A101" s="197" t="s">
        <v>1457</v>
      </c>
      <c r="B101" s="202" t="s">
        <v>35</v>
      </c>
      <c r="C101" s="197" t="s">
        <v>1474</v>
      </c>
      <c r="D101" s="198" t="s">
        <v>1475</v>
      </c>
      <c r="E101" s="205">
        <v>54337</v>
      </c>
      <c r="F101" s="199"/>
      <c r="G101" s="197"/>
      <c r="H101" s="206"/>
    </row>
    <row r="102" ht="42" customHeight="1" spans="1:8">
      <c r="A102" s="197" t="s">
        <v>1476</v>
      </c>
      <c r="B102" s="202" t="s">
        <v>35</v>
      </c>
      <c r="C102" s="197" t="s">
        <v>1477</v>
      </c>
      <c r="D102" s="198" t="s">
        <v>1478</v>
      </c>
      <c r="E102" s="205">
        <v>84600</v>
      </c>
      <c r="F102" s="199"/>
      <c r="G102" s="206"/>
      <c r="H102" s="206"/>
    </row>
    <row r="103" ht="30" customHeight="1" spans="1:8">
      <c r="A103" s="196" t="s">
        <v>1450</v>
      </c>
      <c r="B103" s="202" t="s">
        <v>35</v>
      </c>
      <c r="C103" s="196" t="s">
        <v>1479</v>
      </c>
      <c r="D103" s="198" t="s">
        <v>1480</v>
      </c>
      <c r="E103" s="210">
        <v>66300</v>
      </c>
      <c r="F103" s="199"/>
      <c r="G103" s="206" t="s">
        <v>285</v>
      </c>
      <c r="H103" s="206"/>
    </row>
    <row r="104" s="190" customFormat="1" ht="28" customHeight="1" spans="1:8">
      <c r="A104" s="197" t="s">
        <v>1481</v>
      </c>
      <c r="B104" s="202" t="s">
        <v>35</v>
      </c>
      <c r="C104" s="197" t="s">
        <v>1482</v>
      </c>
      <c r="D104" s="211" t="s">
        <v>1483</v>
      </c>
      <c r="E104" s="212">
        <v>240000</v>
      </c>
      <c r="F104" s="199"/>
      <c r="G104" s="199"/>
      <c r="H104" s="199"/>
    </row>
    <row r="105" ht="42" customHeight="1" spans="1:8">
      <c r="A105" s="197" t="s">
        <v>1484</v>
      </c>
      <c r="B105" s="197" t="s">
        <v>35</v>
      </c>
      <c r="C105" s="197" t="s">
        <v>1485</v>
      </c>
      <c r="D105" s="198" t="s">
        <v>1486</v>
      </c>
      <c r="E105" s="205">
        <v>21735</v>
      </c>
      <c r="F105" s="199"/>
      <c r="G105" s="197"/>
      <c r="H105" s="206"/>
    </row>
    <row r="106" ht="42" customHeight="1" spans="1:8">
      <c r="A106" s="197" t="s">
        <v>1484</v>
      </c>
      <c r="B106" s="197" t="s">
        <v>35</v>
      </c>
      <c r="C106" s="197" t="s">
        <v>1487</v>
      </c>
      <c r="D106" s="198" t="s">
        <v>1488</v>
      </c>
      <c r="E106" s="205">
        <v>43470</v>
      </c>
      <c r="F106" s="199"/>
      <c r="G106" s="197"/>
      <c r="H106" s="206"/>
    </row>
    <row r="107" ht="42" customHeight="1" spans="1:8">
      <c r="A107" s="197" t="s">
        <v>1484</v>
      </c>
      <c r="B107" s="197" t="s">
        <v>35</v>
      </c>
      <c r="C107" s="197" t="s">
        <v>1489</v>
      </c>
      <c r="D107" s="198" t="s">
        <v>1490</v>
      </c>
      <c r="E107" s="205">
        <v>17000</v>
      </c>
      <c r="F107" s="199"/>
      <c r="G107" s="206"/>
      <c r="H107" s="206"/>
    </row>
    <row r="108" ht="42" customHeight="1" spans="1:8">
      <c r="A108" s="197" t="s">
        <v>1484</v>
      </c>
      <c r="B108" s="197" t="s">
        <v>35</v>
      </c>
      <c r="C108" s="197" t="s">
        <v>1491</v>
      </c>
      <c r="D108" s="213" t="s">
        <v>1492</v>
      </c>
      <c r="E108" s="205">
        <v>86940</v>
      </c>
      <c r="F108" s="199"/>
      <c r="G108" s="197"/>
      <c r="H108" s="206"/>
    </row>
    <row r="109" ht="42" customHeight="1" spans="1:8">
      <c r="A109" s="197" t="s">
        <v>1484</v>
      </c>
      <c r="B109" s="197" t="s">
        <v>48</v>
      </c>
      <c r="C109" s="197" t="s">
        <v>1493</v>
      </c>
      <c r="D109" s="213" t="s">
        <v>1494</v>
      </c>
      <c r="E109" s="205">
        <v>12588</v>
      </c>
      <c r="F109" s="199"/>
      <c r="G109" s="197"/>
      <c r="H109" s="206"/>
    </row>
    <row r="110" ht="42" customHeight="1" spans="1:8">
      <c r="A110" s="197" t="s">
        <v>1484</v>
      </c>
      <c r="B110" s="197" t="s">
        <v>48</v>
      </c>
      <c r="C110" s="197" t="s">
        <v>1495</v>
      </c>
      <c r="D110" s="213" t="s">
        <v>1496</v>
      </c>
      <c r="E110" s="205">
        <v>9871</v>
      </c>
      <c r="F110" s="199"/>
      <c r="G110" s="197"/>
      <c r="H110" s="206"/>
    </row>
    <row r="111" ht="42" customHeight="1" spans="1:8">
      <c r="A111" s="197" t="s">
        <v>1484</v>
      </c>
      <c r="B111" s="197" t="s">
        <v>48</v>
      </c>
      <c r="C111" s="197" t="s">
        <v>1497</v>
      </c>
      <c r="D111" s="213" t="s">
        <v>1498</v>
      </c>
      <c r="E111" s="205">
        <v>7154</v>
      </c>
      <c r="F111" s="199"/>
      <c r="G111" s="197"/>
      <c r="H111" s="206"/>
    </row>
    <row r="112" ht="42" customHeight="1" spans="1:8">
      <c r="A112" s="197" t="s">
        <v>1484</v>
      </c>
      <c r="B112" s="197" t="s">
        <v>48</v>
      </c>
      <c r="C112" s="197" t="s">
        <v>1499</v>
      </c>
      <c r="D112" s="213" t="s">
        <v>1500</v>
      </c>
      <c r="E112" s="205">
        <v>41658</v>
      </c>
      <c r="F112" s="199"/>
      <c r="G112" s="197"/>
      <c r="H112" s="206"/>
    </row>
    <row r="113" ht="30" customHeight="1" spans="1:8">
      <c r="A113" s="72" t="s">
        <v>1501</v>
      </c>
      <c r="B113" s="72" t="s">
        <v>35</v>
      </c>
      <c r="C113" s="172" t="s">
        <v>1502</v>
      </c>
      <c r="D113" s="213" t="s">
        <v>1503</v>
      </c>
      <c r="E113" s="72">
        <v>102000</v>
      </c>
      <c r="F113" s="199"/>
      <c r="G113" s="72"/>
      <c r="H113" s="74"/>
    </row>
    <row r="114" ht="28" customHeight="1" spans="1:8">
      <c r="A114" s="172" t="s">
        <v>1450</v>
      </c>
      <c r="B114" s="72" t="s">
        <v>35</v>
      </c>
      <c r="C114" s="172" t="s">
        <v>1504</v>
      </c>
      <c r="D114" s="213" t="s">
        <v>1505</v>
      </c>
      <c r="E114" s="72">
        <v>5100</v>
      </c>
      <c r="F114" s="199"/>
      <c r="G114" s="72"/>
      <c r="H114" s="74"/>
    </row>
    <row r="115" ht="30" customHeight="1" spans="1:8">
      <c r="A115" s="172" t="s">
        <v>1506</v>
      </c>
      <c r="B115" s="72" t="s">
        <v>35</v>
      </c>
      <c r="C115" s="172" t="s">
        <v>1507</v>
      </c>
      <c r="D115" s="213" t="s">
        <v>1508</v>
      </c>
      <c r="E115" s="72">
        <v>89080</v>
      </c>
      <c r="F115" s="199"/>
      <c r="G115" s="72"/>
      <c r="H115" s="74"/>
    </row>
    <row r="116" ht="30" customHeight="1" spans="1:8">
      <c r="A116" s="172" t="s">
        <v>1506</v>
      </c>
      <c r="B116" s="72" t="s">
        <v>35</v>
      </c>
      <c r="C116" s="172" t="s">
        <v>1509</v>
      </c>
      <c r="D116" s="213" t="s">
        <v>1510</v>
      </c>
      <c r="E116" s="72">
        <v>89080</v>
      </c>
      <c r="F116" s="199"/>
      <c r="G116" s="72"/>
      <c r="H116" s="74"/>
    </row>
    <row r="117" ht="45" customHeight="1" spans="1:8">
      <c r="A117" s="172" t="s">
        <v>1511</v>
      </c>
      <c r="B117" s="72" t="s">
        <v>35</v>
      </c>
      <c r="C117" s="172" t="s">
        <v>1512</v>
      </c>
      <c r="D117" s="213" t="s">
        <v>1513</v>
      </c>
      <c r="E117" s="72">
        <v>629000</v>
      </c>
      <c r="F117" s="199"/>
      <c r="G117" s="72"/>
      <c r="H117" s="74"/>
    </row>
    <row r="118" ht="45" customHeight="1" spans="1:8">
      <c r="A118" s="172" t="s">
        <v>1511</v>
      </c>
      <c r="B118" s="72" t="s">
        <v>35</v>
      </c>
      <c r="C118" s="172" t="s">
        <v>1514</v>
      </c>
      <c r="D118" s="213" t="s">
        <v>1515</v>
      </c>
      <c r="E118" s="72">
        <v>425000</v>
      </c>
      <c r="F118" s="199"/>
      <c r="G118" s="72"/>
      <c r="H118" s="74"/>
    </row>
    <row r="119" ht="45" customHeight="1" spans="1:8">
      <c r="A119" s="172" t="s">
        <v>1511</v>
      </c>
      <c r="B119" s="72" t="s">
        <v>35</v>
      </c>
      <c r="C119" s="172" t="s">
        <v>1516</v>
      </c>
      <c r="D119" s="213" t="s">
        <v>1517</v>
      </c>
      <c r="E119" s="72">
        <v>238000</v>
      </c>
      <c r="F119" s="199"/>
      <c r="G119" s="72"/>
      <c r="H119" s="74"/>
    </row>
    <row r="120" ht="45" customHeight="1" spans="1:8">
      <c r="A120" s="172" t="s">
        <v>1511</v>
      </c>
      <c r="B120" s="72" t="s">
        <v>35</v>
      </c>
      <c r="C120" s="172" t="s">
        <v>1518</v>
      </c>
      <c r="D120" s="213" t="s">
        <v>1519</v>
      </c>
      <c r="E120" s="72">
        <v>153000</v>
      </c>
      <c r="F120" s="199"/>
      <c r="G120" s="72"/>
      <c r="H120" s="74"/>
    </row>
    <row r="121" ht="45" customHeight="1" spans="1:8">
      <c r="A121" s="172" t="s">
        <v>1520</v>
      </c>
      <c r="B121" s="72" t="s">
        <v>35</v>
      </c>
      <c r="C121" s="172" t="s">
        <v>1521</v>
      </c>
      <c r="D121" s="213" t="s">
        <v>1522</v>
      </c>
      <c r="E121" s="72">
        <v>136000</v>
      </c>
      <c r="F121" s="199"/>
      <c r="G121" s="72"/>
      <c r="H121" s="74"/>
    </row>
    <row r="122" ht="45" customHeight="1" spans="1:8">
      <c r="A122" s="172" t="s">
        <v>1520</v>
      </c>
      <c r="B122" s="72" t="s">
        <v>35</v>
      </c>
      <c r="C122" s="172" t="s">
        <v>1523</v>
      </c>
      <c r="D122" s="213" t="s">
        <v>1524</v>
      </c>
      <c r="E122" s="72">
        <v>93500</v>
      </c>
      <c r="F122" s="199"/>
      <c r="G122" s="72"/>
      <c r="H122" s="74"/>
    </row>
    <row r="123" ht="60" customHeight="1" spans="1:8">
      <c r="A123" s="172" t="s">
        <v>1520</v>
      </c>
      <c r="B123" s="72" t="s">
        <v>35</v>
      </c>
      <c r="C123" s="172" t="s">
        <v>1525</v>
      </c>
      <c r="D123" s="213" t="s">
        <v>1526</v>
      </c>
      <c r="E123" s="72">
        <v>85000</v>
      </c>
      <c r="F123" s="199"/>
      <c r="G123" s="72"/>
      <c r="H123" s="74"/>
    </row>
    <row r="124" ht="60" customHeight="1" spans="1:8">
      <c r="A124" s="172" t="s">
        <v>1520</v>
      </c>
      <c r="B124" s="72" t="s">
        <v>35</v>
      </c>
      <c r="C124" s="172" t="s">
        <v>1527</v>
      </c>
      <c r="D124" s="213" t="s">
        <v>1528</v>
      </c>
      <c r="E124" s="72">
        <v>56100</v>
      </c>
      <c r="F124" s="199"/>
      <c r="G124" s="72"/>
      <c r="H124" s="74"/>
    </row>
    <row r="125" ht="30" customHeight="1" spans="1:8">
      <c r="A125" s="172" t="s">
        <v>1511</v>
      </c>
      <c r="B125" s="72" t="s">
        <v>35</v>
      </c>
      <c r="C125" s="172" t="s">
        <v>1529</v>
      </c>
      <c r="D125" s="213" t="s">
        <v>1530</v>
      </c>
      <c r="E125" s="72">
        <v>77520</v>
      </c>
      <c r="F125" s="201"/>
      <c r="G125" s="201"/>
      <c r="H125" s="114"/>
    </row>
    <row r="126" ht="30" customHeight="1" spans="1:8">
      <c r="A126" s="172" t="s">
        <v>1511</v>
      </c>
      <c r="B126" s="72" t="s">
        <v>35</v>
      </c>
      <c r="C126" s="172" t="s">
        <v>1531</v>
      </c>
      <c r="D126" s="213" t="s">
        <v>1532</v>
      </c>
      <c r="E126" s="72">
        <v>77520</v>
      </c>
      <c r="F126" s="201"/>
      <c r="G126" s="201"/>
      <c r="H126" s="114"/>
    </row>
    <row r="127" ht="45" customHeight="1" spans="1:8">
      <c r="A127" s="172" t="s">
        <v>1533</v>
      </c>
      <c r="B127" s="72" t="s">
        <v>35</v>
      </c>
      <c r="C127" s="172" t="s">
        <v>1534</v>
      </c>
      <c r="D127" s="213" t="s">
        <v>1535</v>
      </c>
      <c r="E127" s="72">
        <v>6715</v>
      </c>
      <c r="F127" s="199"/>
      <c r="G127" s="72"/>
      <c r="H127" s="74"/>
    </row>
  </sheetData>
  <autoFilter xmlns:etc="http://www.wps.cn/officeDocument/2017/etCustomData" ref="A1:G127" etc:filterBottomFollowUsedRange="0">
    <extLst/>
  </autoFilter>
  <pageMargins left="0.75" right="0.75" top="1" bottom="1" header="0.5" footer="0.5"/>
  <pageSetup paperSize="1" scale="71" fitToHeight="9" orientation="landscape"/>
  <headerFooter alignWithMargins="0">
    <oddHeader>&amp;C&amp;"Arial,Bold"&amp;12 TransceiversWorldwide Price List - February 2015&amp;RAs of 02/09/2015</oddHeader>
    <oddFooter>&amp;CAlcatel-Lucent - Enterprise Solutions Division - Confidential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indexed="21"/>
  </sheetPr>
  <dimension ref="A1:IE324"/>
  <sheetViews>
    <sheetView tabSelected="1" workbookViewId="0">
      <pane ySplit="1" topLeftCell="A17" activePane="bottomLeft" state="frozen"/>
      <selection/>
      <selection pane="bottomLeft" activeCell="K22" sqref="K22:K23"/>
    </sheetView>
  </sheetViews>
  <sheetFormatPr defaultColWidth="39.6637168141593" defaultRowHeight="12.75"/>
  <cols>
    <col min="1" max="1" width="22.5044247787611" style="64" customWidth="1"/>
    <col min="2" max="2" width="20" style="64" customWidth="1"/>
    <col min="3" max="3" width="21.1681415929204" style="132" customWidth="1"/>
    <col min="4" max="4" width="69.6637168141593" style="133" customWidth="1"/>
    <col min="5" max="5" width="7.66371681415929" style="64" customWidth="1"/>
    <col min="6" max="6" width="13.6637168141593" style="66" customWidth="1"/>
    <col min="7" max="7" width="9.66371681415929" style="64" customWidth="1"/>
    <col min="8" max="8" width="12.1681415929204" style="134" customWidth="1"/>
    <col min="9" max="9" width="8.66371681415929" style="64" customWidth="1"/>
    <col min="10" max="10" width="11.1681415929204" style="64" customWidth="1"/>
    <col min="11" max="11" width="17" style="78" customWidth="1"/>
    <col min="12" max="12" width="13.6637168141593" style="78" customWidth="1"/>
    <col min="13" max="13" width="14.1681415929204" style="78" customWidth="1"/>
  </cols>
  <sheetData>
    <row r="1" s="63" customFormat="1" ht="13.85" spans="1:239">
      <c r="A1" s="91" t="s">
        <v>50</v>
      </c>
      <c r="B1" s="91" t="s">
        <v>51</v>
      </c>
      <c r="C1" s="70" t="s">
        <v>52</v>
      </c>
      <c r="D1" s="91" t="s">
        <v>53</v>
      </c>
      <c r="E1" s="70" t="s">
        <v>54</v>
      </c>
      <c r="F1" s="127" t="s">
        <v>55</v>
      </c>
      <c r="G1" s="70" t="s">
        <v>56</v>
      </c>
      <c r="H1" s="135" t="s">
        <v>57</v>
      </c>
      <c r="I1" s="70" t="s">
        <v>58</v>
      </c>
      <c r="J1" s="70" t="s">
        <v>59</v>
      </c>
      <c r="K1" s="70" t="s">
        <v>60</v>
      </c>
    </row>
    <row r="2" ht="60" customHeight="1" spans="1:239">
      <c r="A2" s="101" t="s">
        <v>1536</v>
      </c>
      <c r="B2" s="102" t="s">
        <v>46</v>
      </c>
      <c r="C2" s="101" t="s">
        <v>1537</v>
      </c>
      <c r="D2" s="87" t="s">
        <v>1538</v>
      </c>
      <c r="E2" s="102" t="s">
        <v>1539</v>
      </c>
      <c r="F2" s="74">
        <v>1</v>
      </c>
      <c r="G2" s="72" t="s">
        <v>65</v>
      </c>
      <c r="H2" s="136">
        <v>28617</v>
      </c>
      <c r="I2" s="72"/>
      <c r="J2" s="137"/>
      <c r="K2" s="100" t="s">
        <v>1540</v>
      </c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</row>
    <row r="3" ht="60" customHeight="1" spans="1:239">
      <c r="A3" s="101" t="s">
        <v>1536</v>
      </c>
      <c r="B3" s="102" t="s">
        <v>46</v>
      </c>
      <c r="C3" s="101" t="s">
        <v>1541</v>
      </c>
      <c r="D3" s="87" t="s">
        <v>1542</v>
      </c>
      <c r="E3" s="102" t="s">
        <v>1539</v>
      </c>
      <c r="F3" s="74">
        <v>1</v>
      </c>
      <c r="G3" s="72" t="s">
        <v>65</v>
      </c>
      <c r="H3" s="136">
        <v>28617</v>
      </c>
      <c r="I3" s="72"/>
      <c r="J3" s="137"/>
      <c r="K3" s="100" t="s">
        <v>1540</v>
      </c>
    </row>
    <row r="4" ht="60" customHeight="1" spans="1:239">
      <c r="A4" s="139" t="s">
        <v>1536</v>
      </c>
      <c r="B4" s="139" t="s">
        <v>46</v>
      </c>
      <c r="C4" s="139" t="s">
        <v>1543</v>
      </c>
      <c r="D4" s="140" t="s">
        <v>1544</v>
      </c>
      <c r="E4" s="139" t="s">
        <v>1539</v>
      </c>
      <c r="F4" s="141">
        <v>1</v>
      </c>
      <c r="G4" s="142" t="s">
        <v>69</v>
      </c>
      <c r="H4" s="136">
        <v>6218</v>
      </c>
      <c r="I4" s="72"/>
      <c r="J4" s="143"/>
      <c r="K4" s="144"/>
    </row>
    <row r="5" ht="45" customHeight="1" spans="1:239">
      <c r="A5" s="101" t="s">
        <v>1536</v>
      </c>
      <c r="B5" s="102" t="s">
        <v>46</v>
      </c>
      <c r="C5" s="101" t="s">
        <v>1545</v>
      </c>
      <c r="D5" s="87" t="s">
        <v>1546</v>
      </c>
      <c r="E5" s="102" t="s">
        <v>1539</v>
      </c>
      <c r="F5" s="74">
        <v>2</v>
      </c>
      <c r="G5" s="72" t="s">
        <v>69</v>
      </c>
      <c r="H5" s="136">
        <v>10712</v>
      </c>
      <c r="I5" s="72"/>
      <c r="J5" s="145"/>
      <c r="K5" s="144"/>
    </row>
    <row r="6" ht="45" customHeight="1" spans="1:239">
      <c r="A6" s="101" t="s">
        <v>1536</v>
      </c>
      <c r="B6" s="102" t="s">
        <v>46</v>
      </c>
      <c r="C6" s="101" t="s">
        <v>1547</v>
      </c>
      <c r="D6" s="87" t="s">
        <v>1548</v>
      </c>
      <c r="E6" s="128" t="s">
        <v>1539</v>
      </c>
      <c r="F6" s="128">
        <v>1</v>
      </c>
      <c r="G6" s="128" t="s">
        <v>69</v>
      </c>
      <c r="H6" s="136">
        <v>11385</v>
      </c>
      <c r="I6" s="72"/>
      <c r="J6" s="146"/>
      <c r="K6" s="95"/>
    </row>
    <row r="7" ht="60" customHeight="1" spans="1:239">
      <c r="A7" s="101" t="s">
        <v>1536</v>
      </c>
      <c r="B7" s="102" t="s">
        <v>46</v>
      </c>
      <c r="C7" s="101" t="s">
        <v>1549</v>
      </c>
      <c r="D7" s="87" t="s">
        <v>1550</v>
      </c>
      <c r="E7" s="102" t="s">
        <v>1539</v>
      </c>
      <c r="F7" s="74">
        <v>2</v>
      </c>
      <c r="G7" s="72" t="s">
        <v>69</v>
      </c>
      <c r="H7" s="136">
        <v>13024</v>
      </c>
      <c r="I7" s="72"/>
      <c r="J7" s="147"/>
      <c r="K7" s="95"/>
    </row>
    <row r="8" ht="45" customHeight="1" spans="1:239">
      <c r="A8" s="101" t="s">
        <v>1536</v>
      </c>
      <c r="B8" s="102" t="s">
        <v>46</v>
      </c>
      <c r="C8" s="101" t="s">
        <v>1551</v>
      </c>
      <c r="D8" s="148" t="s">
        <v>1552</v>
      </c>
      <c r="E8" s="102" t="s">
        <v>1539</v>
      </c>
      <c r="F8" s="74">
        <v>2</v>
      </c>
      <c r="G8" s="72" t="s">
        <v>69</v>
      </c>
      <c r="H8" s="136">
        <v>13024</v>
      </c>
      <c r="I8" s="72"/>
      <c r="J8" s="147"/>
      <c r="K8" s="95"/>
    </row>
    <row r="9" ht="45" customHeight="1" spans="1:239">
      <c r="A9" s="101" t="s">
        <v>1536</v>
      </c>
      <c r="B9" s="102" t="s">
        <v>46</v>
      </c>
      <c r="C9" s="101" t="s">
        <v>1553</v>
      </c>
      <c r="D9" s="87" t="s">
        <v>1554</v>
      </c>
      <c r="E9" s="102" t="s">
        <v>1539</v>
      </c>
      <c r="F9" s="74">
        <v>2</v>
      </c>
      <c r="G9" s="72" t="s">
        <v>69</v>
      </c>
      <c r="H9" s="136">
        <v>6218</v>
      </c>
      <c r="I9" s="72"/>
      <c r="J9" s="146"/>
      <c r="K9" s="100"/>
    </row>
    <row r="10" ht="60" customHeight="1" spans="1:239">
      <c r="A10" s="101" t="s">
        <v>1536</v>
      </c>
      <c r="B10" s="102" t="s">
        <v>46</v>
      </c>
      <c r="C10" s="101" t="s">
        <v>1555</v>
      </c>
      <c r="D10" s="87" t="s">
        <v>1556</v>
      </c>
      <c r="E10" s="102" t="s">
        <v>1539</v>
      </c>
      <c r="F10" s="74">
        <v>2</v>
      </c>
      <c r="G10" s="72" t="s">
        <v>69</v>
      </c>
      <c r="H10" s="136">
        <v>18286</v>
      </c>
      <c r="J10" s="147"/>
      <c r="K10" s="100" t="s">
        <v>1540</v>
      </c>
    </row>
    <row r="11" ht="60" customHeight="1" spans="1:239">
      <c r="A11" s="101" t="s">
        <v>1536</v>
      </c>
      <c r="B11" s="102" t="s">
        <v>46</v>
      </c>
      <c r="C11" s="101" t="s">
        <v>1557</v>
      </c>
      <c r="D11" s="87" t="s">
        <v>1558</v>
      </c>
      <c r="E11" s="102" t="s">
        <v>1539</v>
      </c>
      <c r="F11" s="74">
        <v>2</v>
      </c>
      <c r="G11" s="72" t="s">
        <v>69</v>
      </c>
      <c r="H11" s="136">
        <v>26180</v>
      </c>
      <c r="I11" s="72"/>
      <c r="J11" s="147"/>
      <c r="K11" s="100"/>
    </row>
    <row r="12" ht="60" customHeight="1" spans="1:239">
      <c r="A12" s="101" t="s">
        <v>1536</v>
      </c>
      <c r="B12" s="102" t="s">
        <v>46</v>
      </c>
      <c r="C12" s="101" t="s">
        <v>1559</v>
      </c>
      <c r="D12" s="87" t="s">
        <v>1560</v>
      </c>
      <c r="E12" s="102" t="s">
        <v>1539</v>
      </c>
      <c r="F12" s="74">
        <v>2</v>
      </c>
      <c r="G12" s="72" t="s">
        <v>69</v>
      </c>
      <c r="H12" s="136">
        <v>26180</v>
      </c>
      <c r="I12" s="72"/>
      <c r="J12" s="147"/>
      <c r="K12" s="100"/>
    </row>
    <row r="13" ht="59" customHeight="1" spans="1:239">
      <c r="A13" s="101" t="s">
        <v>1536</v>
      </c>
      <c r="B13" s="102" t="s">
        <v>46</v>
      </c>
      <c r="C13" s="101" t="s">
        <v>1561</v>
      </c>
      <c r="D13" s="87" t="s">
        <v>1562</v>
      </c>
      <c r="E13" s="102" t="s">
        <v>1539</v>
      </c>
      <c r="F13" s="74">
        <v>2</v>
      </c>
      <c r="G13" s="72" t="s">
        <v>69</v>
      </c>
      <c r="H13" s="136">
        <v>39336</v>
      </c>
      <c r="I13" s="72"/>
      <c r="J13" s="147"/>
      <c r="K13" s="149"/>
    </row>
    <row r="14" ht="75" customHeight="1" spans="1:239">
      <c r="A14" s="101" t="s">
        <v>1536</v>
      </c>
      <c r="B14" s="102" t="s">
        <v>46</v>
      </c>
      <c r="C14" s="101" t="s">
        <v>1563</v>
      </c>
      <c r="D14" s="87" t="s">
        <v>1564</v>
      </c>
      <c r="E14" s="102" t="s">
        <v>1539</v>
      </c>
      <c r="F14" s="74">
        <v>2</v>
      </c>
      <c r="G14" s="72" t="s">
        <v>69</v>
      </c>
      <c r="H14" s="136">
        <v>47230</v>
      </c>
      <c r="I14" s="72"/>
      <c r="J14" s="147"/>
      <c r="K14" s="95"/>
    </row>
    <row r="15" ht="75" customHeight="1" spans="1:239">
      <c r="A15" s="101" t="s">
        <v>1536</v>
      </c>
      <c r="B15" s="102" t="s">
        <v>46</v>
      </c>
      <c r="C15" s="101" t="s">
        <v>1565</v>
      </c>
      <c r="D15" s="87" t="s">
        <v>1566</v>
      </c>
      <c r="E15" s="102" t="s">
        <v>1539</v>
      </c>
      <c r="F15" s="74">
        <v>2</v>
      </c>
      <c r="G15" s="72" t="s">
        <v>69</v>
      </c>
      <c r="H15" s="136">
        <v>47230</v>
      </c>
      <c r="I15" s="72"/>
      <c r="J15" s="147"/>
      <c r="K15" s="95"/>
    </row>
    <row r="16" ht="60" customHeight="1" spans="1:239">
      <c r="A16" s="101" t="s">
        <v>1536</v>
      </c>
      <c r="B16" s="102" t="s">
        <v>46</v>
      </c>
      <c r="C16" s="101" t="s">
        <v>1567</v>
      </c>
      <c r="D16" s="87" t="s">
        <v>1568</v>
      </c>
      <c r="E16" s="102" t="s">
        <v>1539</v>
      </c>
      <c r="F16" s="74">
        <v>2</v>
      </c>
      <c r="G16" s="72" t="s">
        <v>69</v>
      </c>
      <c r="H16" s="136">
        <v>47230</v>
      </c>
      <c r="I16" s="72"/>
      <c r="J16" s="147"/>
      <c r="K16" s="95"/>
    </row>
    <row r="17" ht="60" customHeight="1" spans="1:12">
      <c r="A17" s="101" t="s">
        <v>1536</v>
      </c>
      <c r="B17" s="102" t="s">
        <v>46</v>
      </c>
      <c r="C17" s="101" t="s">
        <v>1569</v>
      </c>
      <c r="D17" s="87" t="s">
        <v>1570</v>
      </c>
      <c r="E17" s="102" t="s">
        <v>1539</v>
      </c>
      <c r="F17" s="74">
        <v>2</v>
      </c>
      <c r="G17" s="72" t="s">
        <v>69</v>
      </c>
      <c r="H17" s="136">
        <v>49873</v>
      </c>
      <c r="I17" s="72"/>
      <c r="J17" s="147"/>
      <c r="K17" s="95"/>
    </row>
    <row r="18" ht="60" customHeight="1" spans="1:12">
      <c r="A18" s="101" t="s">
        <v>1536</v>
      </c>
      <c r="B18" s="102" t="s">
        <v>46</v>
      </c>
      <c r="C18" s="101" t="s">
        <v>1571</v>
      </c>
      <c r="D18" s="87" t="s">
        <v>1572</v>
      </c>
      <c r="E18" s="102" t="s">
        <v>1539</v>
      </c>
      <c r="F18" s="74">
        <v>2</v>
      </c>
      <c r="G18" s="72" t="s">
        <v>65</v>
      </c>
      <c r="H18" s="136">
        <v>52504</v>
      </c>
      <c r="I18" s="72"/>
      <c r="J18" s="146"/>
      <c r="K18" s="100" t="s">
        <v>731</v>
      </c>
    </row>
    <row r="19" ht="45" customHeight="1" spans="1:12">
      <c r="A19" s="101" t="s">
        <v>1573</v>
      </c>
      <c r="B19" s="102" t="s">
        <v>46</v>
      </c>
      <c r="C19" s="101" t="s">
        <v>1574</v>
      </c>
      <c r="D19" s="87" t="s">
        <v>1575</v>
      </c>
      <c r="E19" s="102" t="s">
        <v>1539</v>
      </c>
      <c r="F19" s="128">
        <v>2</v>
      </c>
      <c r="G19" s="72" t="s">
        <v>65</v>
      </c>
      <c r="H19" s="136">
        <v>32775</v>
      </c>
      <c r="I19" s="72"/>
      <c r="J19" s="150"/>
      <c r="K19" s="100" t="s">
        <v>731</v>
      </c>
      <c r="L19" s="63"/>
    </row>
    <row r="20" ht="60" customHeight="1" spans="1:12">
      <c r="A20" s="101" t="s">
        <v>1573</v>
      </c>
      <c r="B20" s="102" t="s">
        <v>46</v>
      </c>
      <c r="C20" s="101" t="s">
        <v>1576</v>
      </c>
      <c r="D20" s="148" t="s">
        <v>1577</v>
      </c>
      <c r="E20" s="102" t="s">
        <v>1539</v>
      </c>
      <c r="F20" s="128">
        <v>2</v>
      </c>
      <c r="G20" s="72" t="s">
        <v>65</v>
      </c>
      <c r="H20" s="136">
        <v>25185</v>
      </c>
      <c r="I20" s="72"/>
      <c r="J20" s="150"/>
      <c r="K20" s="100" t="s">
        <v>731</v>
      </c>
      <c r="L20" s="63"/>
    </row>
    <row r="21" ht="45" customHeight="1" spans="1:12">
      <c r="A21" s="101" t="s">
        <v>1573</v>
      </c>
      <c r="B21" s="102" t="s">
        <v>46</v>
      </c>
      <c r="C21" s="101" t="s">
        <v>1578</v>
      </c>
      <c r="D21" s="148" t="s">
        <v>1579</v>
      </c>
      <c r="E21" s="151" t="s">
        <v>1539</v>
      </c>
      <c r="F21" s="128">
        <v>4</v>
      </c>
      <c r="G21" s="72" t="s">
        <v>65</v>
      </c>
      <c r="H21" s="136">
        <v>15985</v>
      </c>
      <c r="I21" s="72"/>
      <c r="J21" s="152" t="s">
        <v>285</v>
      </c>
      <c r="K21" s="153" t="s">
        <v>1580</v>
      </c>
      <c r="L21" s="63"/>
    </row>
    <row r="22" ht="45" customHeight="1" spans="1:12">
      <c r="A22" s="101" t="s">
        <v>1573</v>
      </c>
      <c r="B22" s="102" t="s">
        <v>46</v>
      </c>
      <c r="C22" s="101" t="s">
        <v>1581</v>
      </c>
      <c r="D22" s="87" t="s">
        <v>1582</v>
      </c>
      <c r="E22" s="151" t="s">
        <v>1539</v>
      </c>
      <c r="F22" s="128">
        <v>4</v>
      </c>
      <c r="G22" s="72" t="s">
        <v>65</v>
      </c>
      <c r="H22" s="136">
        <v>29785</v>
      </c>
      <c r="I22" s="72"/>
      <c r="J22" s="152"/>
      <c r="K22" s="100"/>
      <c r="L22" s="63"/>
    </row>
    <row r="23" ht="60" customHeight="1" spans="1:12">
      <c r="A23" s="101" t="s">
        <v>1573</v>
      </c>
      <c r="B23" s="102" t="s">
        <v>46</v>
      </c>
      <c r="C23" s="101" t="s">
        <v>1583</v>
      </c>
      <c r="D23" s="87" t="s">
        <v>1584</v>
      </c>
      <c r="E23" s="151" t="s">
        <v>1539</v>
      </c>
      <c r="F23" s="128">
        <v>4</v>
      </c>
      <c r="G23" s="72" t="s">
        <v>65</v>
      </c>
      <c r="H23" s="136">
        <v>38985</v>
      </c>
      <c r="I23" s="72"/>
      <c r="J23" s="152"/>
      <c r="K23" s="100"/>
      <c r="L23" s="63"/>
    </row>
    <row r="24" s="63" customFormat="1" ht="60" customHeight="1" spans="1:12">
      <c r="A24" s="101" t="s">
        <v>1573</v>
      </c>
      <c r="B24" s="102" t="s">
        <v>46</v>
      </c>
      <c r="C24" s="101" t="s">
        <v>1585</v>
      </c>
      <c r="D24" s="148" t="s">
        <v>1586</v>
      </c>
      <c r="E24" s="151" t="s">
        <v>1539</v>
      </c>
      <c r="F24" s="128">
        <v>4</v>
      </c>
      <c r="G24" s="72" t="s">
        <v>65</v>
      </c>
      <c r="H24" s="136">
        <v>29785</v>
      </c>
      <c r="I24" s="72"/>
      <c r="J24" s="152"/>
      <c r="K24" s="100"/>
    </row>
    <row r="25" s="63" customFormat="1" ht="60" customHeight="1" spans="1:12">
      <c r="A25" s="101" t="s">
        <v>1573</v>
      </c>
      <c r="B25" s="102" t="s">
        <v>46</v>
      </c>
      <c r="C25" s="101" t="s">
        <v>1587</v>
      </c>
      <c r="D25" s="148" t="s">
        <v>1588</v>
      </c>
      <c r="E25" s="151" t="s">
        <v>1539</v>
      </c>
      <c r="F25" s="128">
        <v>4</v>
      </c>
      <c r="G25" s="72" t="s">
        <v>65</v>
      </c>
      <c r="H25" s="136">
        <v>38985</v>
      </c>
      <c r="I25" s="72"/>
      <c r="J25" s="152"/>
      <c r="K25" s="100"/>
    </row>
    <row r="26" ht="60" customHeight="1" spans="1:12">
      <c r="A26" s="101" t="s">
        <v>1573</v>
      </c>
      <c r="B26" s="102" t="s">
        <v>46</v>
      </c>
      <c r="C26" s="101" t="s">
        <v>1589</v>
      </c>
      <c r="D26" s="87" t="s">
        <v>1590</v>
      </c>
      <c r="E26" s="151" t="s">
        <v>1539</v>
      </c>
      <c r="F26" s="128">
        <v>4</v>
      </c>
      <c r="G26" s="72" t="s">
        <v>65</v>
      </c>
      <c r="H26" s="136">
        <v>57385</v>
      </c>
      <c r="I26" s="114"/>
      <c r="J26" s="152"/>
      <c r="K26" s="153" t="s">
        <v>1580</v>
      </c>
      <c r="L26" s="63"/>
    </row>
    <row r="27" ht="60" customHeight="1" spans="1:12">
      <c r="A27" s="101" t="s">
        <v>1573</v>
      </c>
      <c r="B27" s="154" t="s">
        <v>46</v>
      </c>
      <c r="C27" s="101" t="s">
        <v>1591</v>
      </c>
      <c r="D27" s="87" t="s">
        <v>1592</v>
      </c>
      <c r="E27" s="155" t="s">
        <v>1539</v>
      </c>
      <c r="F27" s="128">
        <v>4</v>
      </c>
      <c r="G27" s="72" t="s">
        <v>65</v>
      </c>
      <c r="H27" s="136">
        <v>57385</v>
      </c>
      <c r="I27" s="114"/>
      <c r="J27" s="152"/>
      <c r="K27" s="114" t="s">
        <v>1580</v>
      </c>
      <c r="L27" s="63"/>
    </row>
    <row r="28" ht="42" customHeight="1" spans="1:12">
      <c r="A28" s="101" t="s">
        <v>1573</v>
      </c>
      <c r="B28" s="102" t="s">
        <v>46</v>
      </c>
      <c r="C28" s="101" t="s">
        <v>1593</v>
      </c>
      <c r="D28" s="87" t="s">
        <v>1594</v>
      </c>
      <c r="E28" s="156" t="s">
        <v>1539</v>
      </c>
      <c r="F28" s="128">
        <v>4</v>
      </c>
      <c r="G28" s="72" t="s">
        <v>65</v>
      </c>
      <c r="H28" s="136">
        <v>32085</v>
      </c>
      <c r="I28" s="114"/>
      <c r="J28" s="152"/>
      <c r="K28" s="114" t="s">
        <v>1580</v>
      </c>
      <c r="L28" s="63"/>
    </row>
    <row r="29" ht="73" customHeight="1" spans="1:12">
      <c r="A29" s="101" t="s">
        <v>1573</v>
      </c>
      <c r="B29" s="157" t="s">
        <v>46</v>
      </c>
      <c r="C29" s="101" t="s">
        <v>1595</v>
      </c>
      <c r="D29" s="87" t="s">
        <v>1596</v>
      </c>
      <c r="E29" s="158" t="s">
        <v>1539</v>
      </c>
      <c r="F29" s="128">
        <v>4</v>
      </c>
      <c r="G29" s="72" t="s">
        <v>65</v>
      </c>
      <c r="H29" s="136">
        <v>50485</v>
      </c>
      <c r="I29" s="72"/>
      <c r="J29" s="152"/>
      <c r="K29" s="114" t="s">
        <v>1580</v>
      </c>
      <c r="L29" s="63"/>
    </row>
    <row r="30" ht="73" customHeight="1" spans="1:12">
      <c r="A30" s="101" t="s">
        <v>1573</v>
      </c>
      <c r="B30" s="102" t="s">
        <v>46</v>
      </c>
      <c r="C30" s="101" t="s">
        <v>1597</v>
      </c>
      <c r="D30" s="87" t="s">
        <v>1598</v>
      </c>
      <c r="E30" s="151" t="s">
        <v>1539</v>
      </c>
      <c r="F30" s="128">
        <v>4</v>
      </c>
      <c r="G30" s="72" t="s">
        <v>65</v>
      </c>
      <c r="H30" s="136">
        <v>50485</v>
      </c>
      <c r="I30" s="72"/>
      <c r="J30" s="152"/>
      <c r="K30" s="114" t="s">
        <v>1580</v>
      </c>
      <c r="L30" s="63"/>
    </row>
    <row r="31" ht="30" customHeight="1" spans="1:12">
      <c r="A31" s="101" t="s">
        <v>1573</v>
      </c>
      <c r="B31" s="102" t="s">
        <v>26</v>
      </c>
      <c r="C31" s="101" t="s">
        <v>1599</v>
      </c>
      <c r="D31" s="87" t="s">
        <v>1600</v>
      </c>
      <c r="E31" s="102" t="s">
        <v>1539</v>
      </c>
      <c r="F31" s="74">
        <v>0</v>
      </c>
      <c r="G31" s="72" t="s">
        <v>65</v>
      </c>
      <c r="H31" s="136">
        <v>746</v>
      </c>
      <c r="I31" s="72"/>
      <c r="J31" s="102"/>
      <c r="K31" s="159"/>
      <c r="L31" s="63"/>
    </row>
    <row r="32" ht="28" customHeight="1" spans="1:12">
      <c r="A32" s="101" t="s">
        <v>1573</v>
      </c>
      <c r="B32" s="102" t="s">
        <v>45</v>
      </c>
      <c r="C32" s="101" t="s">
        <v>1601</v>
      </c>
      <c r="D32" s="87" t="s">
        <v>1602</v>
      </c>
      <c r="E32" s="102" t="s">
        <v>1539</v>
      </c>
      <c r="F32" s="74">
        <v>0</v>
      </c>
      <c r="G32" s="72" t="s">
        <v>65</v>
      </c>
      <c r="H32" s="136">
        <v>1913</v>
      </c>
      <c r="I32" s="72"/>
      <c r="J32" s="102"/>
      <c r="K32" s="95"/>
      <c r="L32" s="63"/>
    </row>
    <row r="33" ht="30" customHeight="1" spans="1:12">
      <c r="A33" s="101" t="s">
        <v>1573</v>
      </c>
      <c r="B33" s="102" t="s">
        <v>45</v>
      </c>
      <c r="C33" s="101" t="s">
        <v>1603</v>
      </c>
      <c r="D33" s="87" t="s">
        <v>1604</v>
      </c>
      <c r="E33" s="102" t="s">
        <v>1539</v>
      </c>
      <c r="F33" s="74">
        <v>0</v>
      </c>
      <c r="G33" s="72" t="s">
        <v>65</v>
      </c>
      <c r="H33" s="136">
        <v>11845</v>
      </c>
      <c r="I33" s="72"/>
      <c r="J33" s="102"/>
      <c r="K33" s="95"/>
      <c r="L33" s="63"/>
    </row>
    <row r="34" ht="30" customHeight="1" spans="1:12">
      <c r="A34" s="101" t="s">
        <v>1573</v>
      </c>
      <c r="B34" s="102" t="s">
        <v>45</v>
      </c>
      <c r="C34" s="101" t="s">
        <v>1605</v>
      </c>
      <c r="D34" s="87" t="s">
        <v>1606</v>
      </c>
      <c r="E34" s="102" t="s">
        <v>1539</v>
      </c>
      <c r="F34" s="74">
        <v>0</v>
      </c>
      <c r="G34" s="72" t="s">
        <v>65</v>
      </c>
      <c r="H34" s="136">
        <v>5740</v>
      </c>
      <c r="I34" s="72"/>
      <c r="J34" s="102"/>
      <c r="K34" s="95"/>
    </row>
    <row r="35" ht="30" customHeight="1" spans="1:12">
      <c r="A35" s="101" t="s">
        <v>1573</v>
      </c>
      <c r="B35" s="102" t="s">
        <v>45</v>
      </c>
      <c r="C35" s="101" t="s">
        <v>1607</v>
      </c>
      <c r="D35" s="87" t="s">
        <v>1608</v>
      </c>
      <c r="E35" s="102" t="s">
        <v>1539</v>
      </c>
      <c r="F35" s="74">
        <v>0</v>
      </c>
      <c r="G35" s="72" t="s">
        <v>65</v>
      </c>
      <c r="H35" s="136">
        <v>14950</v>
      </c>
      <c r="I35" s="72"/>
      <c r="J35" s="102"/>
      <c r="K35" s="95"/>
    </row>
    <row r="36" ht="30" customHeight="1" spans="1:12">
      <c r="A36" s="101" t="s">
        <v>1573</v>
      </c>
      <c r="B36" s="102" t="s">
        <v>45</v>
      </c>
      <c r="C36" s="101" t="s">
        <v>1609</v>
      </c>
      <c r="D36" s="87" t="s">
        <v>1610</v>
      </c>
      <c r="E36" s="102" t="s">
        <v>1539</v>
      </c>
      <c r="F36" s="74">
        <v>0</v>
      </c>
      <c r="G36" s="72" t="s">
        <v>69</v>
      </c>
      <c r="H36" s="136">
        <v>10046</v>
      </c>
      <c r="I36" s="72"/>
      <c r="J36" s="102"/>
      <c r="K36" s="159"/>
    </row>
    <row r="37" ht="45" customHeight="1" spans="1:12">
      <c r="A37" s="101" t="s">
        <v>1573</v>
      </c>
      <c r="B37" s="102" t="s">
        <v>45</v>
      </c>
      <c r="C37" s="101" t="s">
        <v>1611</v>
      </c>
      <c r="D37" s="87" t="s">
        <v>1612</v>
      </c>
      <c r="E37" s="102" t="s">
        <v>1539</v>
      </c>
      <c r="F37" s="74">
        <v>0</v>
      </c>
      <c r="G37" s="72" t="s">
        <v>65</v>
      </c>
      <c r="H37" s="136">
        <v>18538</v>
      </c>
      <c r="I37" s="72"/>
      <c r="J37" s="102"/>
      <c r="K37" s="100"/>
      <c r="L37" s="63"/>
    </row>
    <row r="38" ht="60" customHeight="1" spans="1:12">
      <c r="A38" s="101" t="s">
        <v>1573</v>
      </c>
      <c r="B38" s="102" t="s">
        <v>45</v>
      </c>
      <c r="C38" s="101" t="s">
        <v>1613</v>
      </c>
      <c r="D38" s="87" t="s">
        <v>1614</v>
      </c>
      <c r="E38" s="102" t="s">
        <v>1539</v>
      </c>
      <c r="F38" s="74">
        <v>0</v>
      </c>
      <c r="G38" s="72" t="s">
        <v>65</v>
      </c>
      <c r="H38" s="136">
        <v>11362</v>
      </c>
      <c r="I38" s="72"/>
      <c r="J38" s="102"/>
      <c r="K38" s="100"/>
      <c r="L38" s="63"/>
    </row>
    <row r="39" ht="30" customHeight="1" spans="1:12">
      <c r="A39" s="101" t="s">
        <v>1573</v>
      </c>
      <c r="B39" s="102" t="s">
        <v>45</v>
      </c>
      <c r="C39" s="101" t="s">
        <v>1615</v>
      </c>
      <c r="D39" s="87" t="s">
        <v>1616</v>
      </c>
      <c r="E39" s="102" t="s">
        <v>1539</v>
      </c>
      <c r="F39" s="74">
        <v>0</v>
      </c>
      <c r="G39" s="72" t="s">
        <v>65</v>
      </c>
      <c r="H39" s="136">
        <v>11017</v>
      </c>
      <c r="I39" s="72"/>
      <c r="J39" s="102"/>
      <c r="K39" s="159"/>
    </row>
    <row r="40" ht="30" customHeight="1" spans="1:12">
      <c r="A40" s="101" t="s">
        <v>1573</v>
      </c>
      <c r="B40" s="102" t="s">
        <v>45</v>
      </c>
      <c r="C40" s="101" t="s">
        <v>1617</v>
      </c>
      <c r="D40" s="87" t="s">
        <v>1618</v>
      </c>
      <c r="E40" s="102" t="s">
        <v>1539</v>
      </c>
      <c r="F40" s="74">
        <v>0</v>
      </c>
      <c r="G40" s="72" t="s">
        <v>65</v>
      </c>
      <c r="H40" s="136">
        <v>11017</v>
      </c>
      <c r="I40" s="72"/>
      <c r="J40" s="102"/>
      <c r="K40" s="159"/>
    </row>
    <row r="41" ht="30" customHeight="1" spans="1:12">
      <c r="A41" s="101" t="s">
        <v>1573</v>
      </c>
      <c r="B41" s="102" t="s">
        <v>22</v>
      </c>
      <c r="C41" s="101" t="s">
        <v>1619</v>
      </c>
      <c r="D41" s="160" t="s">
        <v>1620</v>
      </c>
      <c r="E41" s="128" t="s">
        <v>1539</v>
      </c>
      <c r="F41" s="128">
        <v>0</v>
      </c>
      <c r="G41" s="161" t="s">
        <v>65</v>
      </c>
      <c r="H41" s="136">
        <v>966</v>
      </c>
      <c r="I41" s="72"/>
      <c r="J41" s="131"/>
      <c r="K41" s="162"/>
    </row>
    <row r="42" ht="28" customHeight="1" spans="1:12">
      <c r="A42" s="101" t="s">
        <v>1573</v>
      </c>
      <c r="B42" s="102" t="s">
        <v>22</v>
      </c>
      <c r="C42" s="101" t="s">
        <v>1621</v>
      </c>
      <c r="D42" s="87" t="s">
        <v>1622</v>
      </c>
      <c r="E42" s="128" t="s">
        <v>1539</v>
      </c>
      <c r="F42" s="128">
        <v>0</v>
      </c>
      <c r="G42" s="161" t="s">
        <v>65</v>
      </c>
      <c r="H42" s="136">
        <v>3588</v>
      </c>
      <c r="I42" s="72"/>
      <c r="J42" s="131"/>
      <c r="K42" s="159"/>
    </row>
    <row r="43" ht="28" customHeight="1" spans="1:12">
      <c r="A43" s="101" t="s">
        <v>1573</v>
      </c>
      <c r="B43" s="102" t="s">
        <v>22</v>
      </c>
      <c r="C43" s="101" t="s">
        <v>1623</v>
      </c>
      <c r="D43" s="148" t="s">
        <v>1624</v>
      </c>
      <c r="E43" s="102" t="s">
        <v>1539</v>
      </c>
      <c r="F43" s="74">
        <v>0</v>
      </c>
      <c r="G43" s="72" t="s">
        <v>69</v>
      </c>
      <c r="H43" s="136">
        <v>3588</v>
      </c>
      <c r="I43" s="72"/>
      <c r="J43" s="102"/>
      <c r="K43" s="159"/>
    </row>
    <row r="44" ht="28" customHeight="1" spans="1:12">
      <c r="A44" s="101" t="s">
        <v>1573</v>
      </c>
      <c r="B44" s="102" t="s">
        <v>22</v>
      </c>
      <c r="C44" s="101" t="s">
        <v>1625</v>
      </c>
      <c r="D44" s="87" t="s">
        <v>1626</v>
      </c>
      <c r="E44" s="102" t="s">
        <v>1539</v>
      </c>
      <c r="F44" s="74">
        <v>0</v>
      </c>
      <c r="G44" s="72" t="s">
        <v>69</v>
      </c>
      <c r="H44" s="136">
        <v>2870</v>
      </c>
      <c r="I44" s="72"/>
      <c r="J44" s="102"/>
      <c r="K44" s="159"/>
    </row>
    <row r="45" ht="44" customHeight="1" spans="1:12">
      <c r="A45" s="101" t="s">
        <v>1573</v>
      </c>
      <c r="B45" s="102" t="s">
        <v>22</v>
      </c>
      <c r="C45" s="101" t="s">
        <v>1627</v>
      </c>
      <c r="D45" s="87" t="s">
        <v>1628</v>
      </c>
      <c r="E45" s="102" t="s">
        <v>1629</v>
      </c>
      <c r="F45" s="74">
        <v>0</v>
      </c>
      <c r="G45" s="72" t="s">
        <v>69</v>
      </c>
      <c r="H45" s="136">
        <v>598</v>
      </c>
      <c r="I45" s="72"/>
      <c r="J45" s="102"/>
      <c r="K45" s="100"/>
    </row>
    <row r="46" ht="45" customHeight="1" spans="1:12">
      <c r="A46" s="101" t="s">
        <v>1573</v>
      </c>
      <c r="B46" s="102" t="s">
        <v>22</v>
      </c>
      <c r="C46" s="101" t="s">
        <v>1630</v>
      </c>
      <c r="D46" s="87" t="s">
        <v>1631</v>
      </c>
      <c r="E46" s="102" t="s">
        <v>1629</v>
      </c>
      <c r="F46" s="74">
        <v>0</v>
      </c>
      <c r="G46" s="72" t="s">
        <v>69</v>
      </c>
      <c r="H46" s="136">
        <v>598</v>
      </c>
      <c r="I46" s="72"/>
      <c r="J46" s="102"/>
      <c r="K46" s="100"/>
    </row>
    <row r="47" ht="30" customHeight="1" spans="1:12">
      <c r="A47" s="101" t="s">
        <v>1573</v>
      </c>
      <c r="B47" s="102" t="s">
        <v>22</v>
      </c>
      <c r="C47" s="101" t="s">
        <v>1632</v>
      </c>
      <c r="D47" s="87" t="s">
        <v>1633</v>
      </c>
      <c r="E47" s="102" t="s">
        <v>1629</v>
      </c>
      <c r="F47" s="128">
        <v>0</v>
      </c>
      <c r="G47" s="72" t="s">
        <v>69</v>
      </c>
      <c r="H47" s="136">
        <v>598</v>
      </c>
      <c r="I47" s="72"/>
      <c r="J47" s="102"/>
      <c r="K47" s="95"/>
    </row>
    <row r="48" ht="44" customHeight="1" spans="1:12">
      <c r="A48" s="101" t="s">
        <v>1573</v>
      </c>
      <c r="B48" s="102" t="s">
        <v>22</v>
      </c>
      <c r="C48" s="101" t="s">
        <v>1634</v>
      </c>
      <c r="D48" s="87" t="s">
        <v>1635</v>
      </c>
      <c r="E48" s="102" t="s">
        <v>1539</v>
      </c>
      <c r="F48" s="128">
        <v>0</v>
      </c>
      <c r="G48" s="72" t="s">
        <v>69</v>
      </c>
      <c r="H48" s="136">
        <v>956</v>
      </c>
      <c r="I48" s="72"/>
      <c r="J48" s="102"/>
      <c r="K48" s="100"/>
    </row>
    <row r="49" ht="59" customHeight="1" spans="1:12">
      <c r="A49" s="101" t="s">
        <v>1573</v>
      </c>
      <c r="B49" s="137" t="s">
        <v>22</v>
      </c>
      <c r="C49" s="101" t="s">
        <v>1636</v>
      </c>
      <c r="D49" s="87" t="s">
        <v>1637</v>
      </c>
      <c r="E49" s="102" t="s">
        <v>1539</v>
      </c>
      <c r="F49" s="128">
        <v>0</v>
      </c>
      <c r="G49" s="72" t="s">
        <v>69</v>
      </c>
      <c r="H49" s="136">
        <v>956</v>
      </c>
      <c r="I49" s="72"/>
      <c r="J49" s="102"/>
      <c r="K49" s="100"/>
    </row>
    <row r="50" ht="28" customHeight="1" spans="1:12">
      <c r="A50" s="101" t="s">
        <v>1573</v>
      </c>
      <c r="B50" s="102" t="s">
        <v>22</v>
      </c>
      <c r="C50" s="101" t="s">
        <v>1638</v>
      </c>
      <c r="D50" s="87" t="s">
        <v>1639</v>
      </c>
      <c r="E50" s="102" t="s">
        <v>1539</v>
      </c>
      <c r="F50" s="128">
        <v>0</v>
      </c>
      <c r="G50" s="72" t="s">
        <v>65</v>
      </c>
      <c r="H50" s="136">
        <v>1315</v>
      </c>
      <c r="I50" s="72"/>
      <c r="J50" s="163"/>
      <c r="K50" s="95"/>
    </row>
    <row r="51" ht="30" customHeight="1" spans="1:12">
      <c r="A51" s="101" t="s">
        <v>1573</v>
      </c>
      <c r="B51" s="102" t="s">
        <v>22</v>
      </c>
      <c r="C51" s="101" t="s">
        <v>1640</v>
      </c>
      <c r="D51" s="87" t="s">
        <v>1641</v>
      </c>
      <c r="E51" s="102" t="s">
        <v>1539</v>
      </c>
      <c r="F51" s="128">
        <v>0</v>
      </c>
      <c r="G51" s="72" t="s">
        <v>65</v>
      </c>
      <c r="H51" s="136">
        <v>2272</v>
      </c>
      <c r="I51" s="72"/>
      <c r="J51" s="102"/>
      <c r="K51" s="95"/>
    </row>
    <row r="52" ht="70" customHeight="1" spans="1:12">
      <c r="A52" s="164" t="s">
        <v>1573</v>
      </c>
      <c r="B52" s="165" t="s">
        <v>22</v>
      </c>
      <c r="C52" s="166" t="s">
        <v>1642</v>
      </c>
      <c r="D52" s="167" t="s">
        <v>1643</v>
      </c>
      <c r="E52" s="166" t="s">
        <v>1539</v>
      </c>
      <c r="F52" s="166">
        <v>0</v>
      </c>
      <c r="G52" s="166" t="s">
        <v>65</v>
      </c>
      <c r="H52" s="168">
        <v>962</v>
      </c>
      <c r="I52" s="165"/>
      <c r="J52" s="169" t="s">
        <v>285</v>
      </c>
      <c r="K52" s="170"/>
    </row>
    <row r="53" ht="30" customHeight="1" spans="1:12">
      <c r="A53" s="101" t="s">
        <v>1573</v>
      </c>
      <c r="B53" s="102" t="s">
        <v>19</v>
      </c>
      <c r="C53" s="101" t="s">
        <v>1644</v>
      </c>
      <c r="D53" s="87" t="s">
        <v>1645</v>
      </c>
      <c r="E53" s="102" t="s">
        <v>1539</v>
      </c>
      <c r="F53" s="74">
        <v>0</v>
      </c>
      <c r="G53" s="72" t="s">
        <v>69</v>
      </c>
      <c r="H53" s="136">
        <v>16624</v>
      </c>
      <c r="I53" s="72"/>
      <c r="J53" s="102"/>
      <c r="K53" s="95"/>
    </row>
    <row r="54" ht="30" customHeight="1" spans="1:12">
      <c r="A54" s="101" t="s">
        <v>1573</v>
      </c>
      <c r="B54" s="102" t="s">
        <v>19</v>
      </c>
      <c r="C54" s="101" t="s">
        <v>1646</v>
      </c>
      <c r="D54" s="87" t="s">
        <v>1647</v>
      </c>
      <c r="E54" s="102" t="s">
        <v>1539</v>
      </c>
      <c r="F54" s="74">
        <v>0</v>
      </c>
      <c r="G54" s="72" t="s">
        <v>65</v>
      </c>
      <c r="H54" s="136">
        <v>3468</v>
      </c>
      <c r="I54" s="72"/>
      <c r="J54" s="102"/>
      <c r="K54" s="95"/>
    </row>
    <row r="55" ht="45" customHeight="1" spans="1:12">
      <c r="A55" s="101" t="s">
        <v>1573</v>
      </c>
      <c r="B55" s="125" t="s">
        <v>19</v>
      </c>
      <c r="C55" s="101" t="s">
        <v>1648</v>
      </c>
      <c r="D55" s="87" t="s">
        <v>1649</v>
      </c>
      <c r="E55" s="102" t="s">
        <v>1539</v>
      </c>
      <c r="F55" s="74">
        <v>0</v>
      </c>
      <c r="G55" s="72" t="s">
        <v>65</v>
      </c>
      <c r="H55" s="136">
        <v>5860</v>
      </c>
      <c r="I55" s="72"/>
      <c r="J55" s="163"/>
      <c r="K55" s="100"/>
    </row>
    <row r="56" ht="30" customHeight="1" spans="1:12">
      <c r="A56" s="101" t="s">
        <v>1573</v>
      </c>
      <c r="B56" s="125" t="s">
        <v>19</v>
      </c>
      <c r="C56" s="101" t="s">
        <v>1650</v>
      </c>
      <c r="D56" s="87" t="s">
        <v>1651</v>
      </c>
      <c r="E56" s="102" t="s">
        <v>1539</v>
      </c>
      <c r="F56" s="74">
        <v>0</v>
      </c>
      <c r="G56" s="72" t="s">
        <v>69</v>
      </c>
      <c r="H56" s="136">
        <v>6578</v>
      </c>
      <c r="I56" s="72"/>
      <c r="J56" s="102"/>
      <c r="K56" s="171"/>
    </row>
    <row r="57" ht="45" customHeight="1" spans="1:12">
      <c r="A57" s="101" t="s">
        <v>1573</v>
      </c>
      <c r="B57" s="125" t="s">
        <v>19</v>
      </c>
      <c r="C57" s="101" t="s">
        <v>1652</v>
      </c>
      <c r="D57" s="87" t="s">
        <v>1653</v>
      </c>
      <c r="E57" s="125" t="s">
        <v>1539</v>
      </c>
      <c r="F57" s="85">
        <v>0</v>
      </c>
      <c r="G57" s="172" t="s">
        <v>69</v>
      </c>
      <c r="H57" s="136">
        <v>20930</v>
      </c>
      <c r="I57" s="114"/>
      <c r="J57" s="163"/>
      <c r="K57" s="100"/>
    </row>
    <row r="58" ht="28" customHeight="1" spans="1:12">
      <c r="A58" s="101" t="s">
        <v>1573</v>
      </c>
      <c r="B58" s="125" t="s">
        <v>22</v>
      </c>
      <c r="C58" s="101" t="s">
        <v>1654</v>
      </c>
      <c r="D58" s="87" t="s">
        <v>1655</v>
      </c>
      <c r="E58" s="102" t="s">
        <v>1539</v>
      </c>
      <c r="F58" s="74">
        <v>0</v>
      </c>
      <c r="G58" s="72" t="s">
        <v>69</v>
      </c>
      <c r="H58" s="136">
        <v>2990</v>
      </c>
      <c r="I58" s="72"/>
      <c r="J58" s="102"/>
      <c r="K58" s="95"/>
    </row>
    <row r="59" ht="28" customHeight="1" spans="1:12">
      <c r="A59" s="101" t="s">
        <v>1573</v>
      </c>
      <c r="B59" s="102" t="s">
        <v>22</v>
      </c>
      <c r="C59" s="101" t="s">
        <v>1656</v>
      </c>
      <c r="D59" s="87" t="s">
        <v>1657</v>
      </c>
      <c r="E59" s="102" t="s">
        <v>1539</v>
      </c>
      <c r="F59" s="74">
        <v>0</v>
      </c>
      <c r="G59" s="72" t="s">
        <v>69</v>
      </c>
      <c r="H59" s="136">
        <v>2990</v>
      </c>
      <c r="I59" s="72"/>
      <c r="J59" s="102"/>
      <c r="K59" s="95"/>
    </row>
    <row r="60" ht="30" customHeight="1" spans="1:12">
      <c r="A60" s="101" t="s">
        <v>1573</v>
      </c>
      <c r="B60" s="102" t="s">
        <v>19</v>
      </c>
      <c r="C60" s="101" t="s">
        <v>1658</v>
      </c>
      <c r="D60" s="87" t="s">
        <v>1659</v>
      </c>
      <c r="E60" s="102" t="s">
        <v>1539</v>
      </c>
      <c r="F60" s="74">
        <v>0</v>
      </c>
      <c r="G60" s="72" t="s">
        <v>65</v>
      </c>
      <c r="H60" s="136">
        <v>8372</v>
      </c>
      <c r="I60" s="72"/>
      <c r="J60" s="102"/>
      <c r="K60" s="95"/>
    </row>
    <row r="61" ht="30" customHeight="1" spans="1:12">
      <c r="A61" s="101" t="s">
        <v>1573</v>
      </c>
      <c r="B61" s="102" t="s">
        <v>19</v>
      </c>
      <c r="C61" s="101" t="s">
        <v>1660</v>
      </c>
      <c r="D61" s="87" t="s">
        <v>1661</v>
      </c>
      <c r="E61" s="102" t="s">
        <v>1539</v>
      </c>
      <c r="F61" s="74">
        <v>0</v>
      </c>
      <c r="G61" s="72" t="s">
        <v>69</v>
      </c>
      <c r="H61" s="136">
        <v>5860</v>
      </c>
      <c r="I61" s="72"/>
      <c r="J61" s="102"/>
      <c r="K61" s="95"/>
    </row>
    <row r="62" ht="28" customHeight="1" spans="1:12">
      <c r="A62" s="101" t="s">
        <v>1573</v>
      </c>
      <c r="B62" s="102" t="s">
        <v>19</v>
      </c>
      <c r="C62" s="101" t="s">
        <v>1662</v>
      </c>
      <c r="D62" s="87" t="s">
        <v>1663</v>
      </c>
      <c r="E62" s="102" t="s">
        <v>1539</v>
      </c>
      <c r="F62" s="74">
        <v>0</v>
      </c>
      <c r="G62" s="72" t="s">
        <v>65</v>
      </c>
      <c r="H62" s="136">
        <v>16624</v>
      </c>
      <c r="I62" s="72"/>
      <c r="J62" s="102"/>
      <c r="K62" s="95"/>
    </row>
    <row r="63" ht="30" customHeight="1" spans="1:12">
      <c r="A63" s="101" t="s">
        <v>1573</v>
      </c>
      <c r="B63" s="102" t="s">
        <v>22</v>
      </c>
      <c r="C63" s="101" t="s">
        <v>1664</v>
      </c>
      <c r="D63" s="148" t="s">
        <v>1665</v>
      </c>
      <c r="E63" s="102" t="s">
        <v>1539</v>
      </c>
      <c r="F63" s="74">
        <v>0</v>
      </c>
      <c r="G63" s="72" t="s">
        <v>69</v>
      </c>
      <c r="H63" s="136">
        <v>4903</v>
      </c>
      <c r="I63" s="72"/>
      <c r="J63" s="102"/>
      <c r="K63" s="95"/>
    </row>
    <row r="64" ht="45" customHeight="1" spans="1:12">
      <c r="A64" s="99" t="s">
        <v>1666</v>
      </c>
      <c r="B64" s="102" t="s">
        <v>22</v>
      </c>
      <c r="C64" s="101" t="s">
        <v>1667</v>
      </c>
      <c r="D64" s="87" t="s">
        <v>1668</v>
      </c>
      <c r="E64" s="102" t="s">
        <v>1539</v>
      </c>
      <c r="F64" s="74">
        <v>0</v>
      </c>
      <c r="G64" s="72" t="s">
        <v>69</v>
      </c>
      <c r="H64" s="136">
        <v>4903</v>
      </c>
      <c r="I64" s="72"/>
      <c r="J64" s="102"/>
      <c r="K64" s="100"/>
      <c r="L64" s="173"/>
    </row>
    <row r="65" ht="15" customHeight="1" spans="1:12">
      <c r="A65" s="99" t="s">
        <v>1666</v>
      </c>
      <c r="B65" s="102" t="s">
        <v>22</v>
      </c>
      <c r="C65" s="101" t="s">
        <v>1669</v>
      </c>
      <c r="D65" s="87" t="s">
        <v>1670</v>
      </c>
      <c r="E65" s="102" t="s">
        <v>1539</v>
      </c>
      <c r="F65" s="74">
        <v>0</v>
      </c>
      <c r="G65" s="72" t="s">
        <v>69</v>
      </c>
      <c r="H65" s="136">
        <v>956</v>
      </c>
      <c r="I65" s="72"/>
      <c r="J65" s="102"/>
      <c r="K65" s="95"/>
      <c r="L65" s="173"/>
    </row>
    <row r="66" ht="45" customHeight="1" spans="1:12">
      <c r="A66" s="174" t="s">
        <v>1164</v>
      </c>
      <c r="B66" s="102" t="s">
        <v>49</v>
      </c>
      <c r="C66" s="101" t="s">
        <v>1671</v>
      </c>
      <c r="D66" s="87" t="s">
        <v>1672</v>
      </c>
      <c r="E66" s="175" t="s">
        <v>132</v>
      </c>
      <c r="F66" s="175">
        <v>1</v>
      </c>
      <c r="G66" s="175" t="s">
        <v>65</v>
      </c>
      <c r="H66" s="136">
        <v>13</v>
      </c>
      <c r="I66" s="72"/>
      <c r="J66" s="102"/>
      <c r="K66" s="176"/>
      <c r="L66" s="173"/>
    </row>
    <row r="67" ht="45" customHeight="1" spans="1:12">
      <c r="A67" s="174" t="s">
        <v>1164</v>
      </c>
      <c r="B67" s="102" t="s">
        <v>49</v>
      </c>
      <c r="C67" s="101" t="s">
        <v>1673</v>
      </c>
      <c r="D67" s="87" t="s">
        <v>1674</v>
      </c>
      <c r="E67" s="175" t="s">
        <v>132</v>
      </c>
      <c r="F67" s="175">
        <v>1</v>
      </c>
      <c r="G67" s="175" t="s">
        <v>65</v>
      </c>
      <c r="H67" s="136">
        <v>13</v>
      </c>
      <c r="I67" s="72"/>
      <c r="J67" s="102"/>
      <c r="K67" s="176"/>
      <c r="L67" s="173"/>
    </row>
    <row r="68" ht="45" customHeight="1" spans="1:12">
      <c r="A68" s="174" t="s">
        <v>1138</v>
      </c>
      <c r="B68" s="102" t="s">
        <v>49</v>
      </c>
      <c r="C68" s="101" t="s">
        <v>1675</v>
      </c>
      <c r="D68" s="87" t="s">
        <v>1676</v>
      </c>
      <c r="E68" s="175" t="s">
        <v>132</v>
      </c>
      <c r="F68" s="175">
        <v>1</v>
      </c>
      <c r="G68" s="175" t="s">
        <v>65</v>
      </c>
      <c r="H68" s="136">
        <v>9</v>
      </c>
      <c r="I68" s="72"/>
      <c r="J68" s="177"/>
      <c r="K68" s="176"/>
      <c r="L68" s="173"/>
    </row>
    <row r="69" ht="45" customHeight="1" spans="1:12">
      <c r="A69" s="174" t="s">
        <v>1164</v>
      </c>
      <c r="B69" s="102" t="s">
        <v>49</v>
      </c>
      <c r="C69" s="101" t="s">
        <v>1677</v>
      </c>
      <c r="D69" s="87" t="s">
        <v>1678</v>
      </c>
      <c r="E69" s="175" t="s">
        <v>132</v>
      </c>
      <c r="F69" s="175">
        <v>1</v>
      </c>
      <c r="G69" s="175" t="s">
        <v>65</v>
      </c>
      <c r="H69" s="136">
        <v>13</v>
      </c>
      <c r="I69" s="72"/>
      <c r="J69" s="102"/>
      <c r="K69" s="176"/>
      <c r="L69" s="173"/>
    </row>
    <row r="70" ht="45" customHeight="1" spans="1:12">
      <c r="A70" s="174" t="s">
        <v>1164</v>
      </c>
      <c r="B70" s="102" t="s">
        <v>49</v>
      </c>
      <c r="C70" s="101" t="s">
        <v>1679</v>
      </c>
      <c r="D70" s="87" t="s">
        <v>1680</v>
      </c>
      <c r="E70" s="175" t="s">
        <v>132</v>
      </c>
      <c r="F70" s="175">
        <v>1</v>
      </c>
      <c r="G70" s="175" t="s">
        <v>65</v>
      </c>
      <c r="H70" s="136">
        <v>32</v>
      </c>
      <c r="I70" s="72"/>
      <c r="J70" s="102"/>
      <c r="K70" s="176"/>
      <c r="L70" s="173"/>
    </row>
    <row r="71" ht="45" customHeight="1" spans="1:12">
      <c r="A71" s="174" t="s">
        <v>1164</v>
      </c>
      <c r="B71" s="102" t="s">
        <v>49</v>
      </c>
      <c r="C71" s="101" t="s">
        <v>1681</v>
      </c>
      <c r="D71" s="87" t="s">
        <v>1682</v>
      </c>
      <c r="E71" s="175" t="s">
        <v>132</v>
      </c>
      <c r="F71" s="175">
        <v>1</v>
      </c>
      <c r="G71" s="175" t="s">
        <v>65</v>
      </c>
      <c r="H71" s="136">
        <v>28</v>
      </c>
      <c r="I71" s="72"/>
      <c r="J71" s="102"/>
      <c r="K71" s="176"/>
      <c r="L71" s="173"/>
    </row>
    <row r="72" ht="45" customHeight="1" spans="1:12">
      <c r="A72" s="174" t="s">
        <v>1164</v>
      </c>
      <c r="B72" s="102" t="s">
        <v>49</v>
      </c>
      <c r="C72" s="101" t="s">
        <v>1683</v>
      </c>
      <c r="D72" s="87" t="s">
        <v>1684</v>
      </c>
      <c r="E72" s="175" t="s">
        <v>132</v>
      </c>
      <c r="F72" s="175">
        <v>1</v>
      </c>
      <c r="G72" s="175" t="s">
        <v>65</v>
      </c>
      <c r="H72" s="136">
        <v>50</v>
      </c>
      <c r="I72" s="72"/>
      <c r="J72" s="102"/>
      <c r="K72" s="176"/>
      <c r="L72" s="173"/>
    </row>
    <row r="73" ht="45" customHeight="1" spans="1:12">
      <c r="A73" s="174" t="s">
        <v>1164</v>
      </c>
      <c r="B73" s="102" t="s">
        <v>49</v>
      </c>
      <c r="C73" s="101" t="s">
        <v>1685</v>
      </c>
      <c r="D73" s="87" t="s">
        <v>1686</v>
      </c>
      <c r="E73" s="175" t="s">
        <v>132</v>
      </c>
      <c r="F73" s="175">
        <v>1</v>
      </c>
      <c r="G73" s="175" t="s">
        <v>65</v>
      </c>
      <c r="H73" s="136">
        <v>50</v>
      </c>
      <c r="I73" s="72"/>
      <c r="J73" s="102"/>
      <c r="K73" s="176"/>
      <c r="L73" s="173"/>
    </row>
    <row r="74" ht="45" customHeight="1" spans="1:12">
      <c r="A74" s="174" t="s">
        <v>1164</v>
      </c>
      <c r="B74" s="102" t="s">
        <v>49</v>
      </c>
      <c r="C74" s="101" t="s">
        <v>1687</v>
      </c>
      <c r="D74" s="87" t="s">
        <v>1688</v>
      </c>
      <c r="E74" s="175" t="s">
        <v>132</v>
      </c>
      <c r="F74" s="175">
        <v>1</v>
      </c>
      <c r="G74" s="175" t="s">
        <v>65</v>
      </c>
      <c r="H74" s="136">
        <v>46</v>
      </c>
      <c r="I74" s="72"/>
      <c r="J74" s="102"/>
      <c r="K74" s="176"/>
      <c r="L74" s="173"/>
    </row>
    <row r="75" ht="45" customHeight="1" spans="1:12">
      <c r="A75" s="174" t="s">
        <v>1164</v>
      </c>
      <c r="B75" s="102" t="s">
        <v>49</v>
      </c>
      <c r="C75" s="101" t="s">
        <v>1689</v>
      </c>
      <c r="D75" s="87" t="s">
        <v>1690</v>
      </c>
      <c r="E75" s="175" t="s">
        <v>132</v>
      </c>
      <c r="F75" s="175">
        <v>1</v>
      </c>
      <c r="G75" s="175" t="s">
        <v>65</v>
      </c>
      <c r="H75" s="136">
        <v>21</v>
      </c>
      <c r="I75" s="72"/>
      <c r="J75" s="102"/>
      <c r="K75" s="176"/>
      <c r="L75" s="173"/>
    </row>
    <row r="76" ht="45" customHeight="1" spans="1:12">
      <c r="A76" s="174" t="s">
        <v>1164</v>
      </c>
      <c r="B76" s="102" t="s">
        <v>49</v>
      </c>
      <c r="C76" s="101" t="s">
        <v>1691</v>
      </c>
      <c r="D76" s="87" t="s">
        <v>1692</v>
      </c>
      <c r="E76" s="175" t="s">
        <v>132</v>
      </c>
      <c r="F76" s="175">
        <v>1</v>
      </c>
      <c r="G76" s="175" t="s">
        <v>65</v>
      </c>
      <c r="H76" s="136">
        <v>21</v>
      </c>
      <c r="I76" s="72"/>
      <c r="J76" s="177"/>
      <c r="K76" s="176"/>
      <c r="L76" s="173"/>
    </row>
    <row r="77" ht="45" customHeight="1" spans="1:12">
      <c r="A77" s="174" t="s">
        <v>1164</v>
      </c>
      <c r="B77" s="102" t="s">
        <v>49</v>
      </c>
      <c r="C77" s="101" t="s">
        <v>1693</v>
      </c>
      <c r="D77" s="87" t="s">
        <v>1694</v>
      </c>
      <c r="E77" s="175" t="s">
        <v>132</v>
      </c>
      <c r="F77" s="175">
        <v>1</v>
      </c>
      <c r="G77" s="175" t="s">
        <v>65</v>
      </c>
      <c r="H77" s="136">
        <v>21</v>
      </c>
      <c r="I77" s="72"/>
      <c r="J77" s="177"/>
      <c r="K77" s="176"/>
      <c r="L77" s="173"/>
    </row>
    <row r="78" ht="45" customHeight="1" spans="1:12">
      <c r="A78" s="174" t="s">
        <v>1164</v>
      </c>
      <c r="B78" s="102" t="s">
        <v>49</v>
      </c>
      <c r="C78" s="101" t="s">
        <v>1695</v>
      </c>
      <c r="D78" s="87" t="s">
        <v>1696</v>
      </c>
      <c r="E78" s="175" t="s">
        <v>132</v>
      </c>
      <c r="F78" s="175">
        <v>1</v>
      </c>
      <c r="G78" s="175" t="s">
        <v>65</v>
      </c>
      <c r="H78" s="136">
        <v>30</v>
      </c>
      <c r="I78" s="72"/>
      <c r="J78" s="177"/>
      <c r="K78" s="176"/>
      <c r="L78" s="173"/>
    </row>
    <row r="79" ht="45" customHeight="1" spans="1:12">
      <c r="A79" s="174" t="s">
        <v>1164</v>
      </c>
      <c r="B79" s="102" t="s">
        <v>49</v>
      </c>
      <c r="C79" s="101" t="s">
        <v>1697</v>
      </c>
      <c r="D79" s="87" t="s">
        <v>1698</v>
      </c>
      <c r="E79" s="175" t="s">
        <v>132</v>
      </c>
      <c r="F79" s="175">
        <v>1</v>
      </c>
      <c r="G79" s="175" t="s">
        <v>65</v>
      </c>
      <c r="H79" s="136">
        <v>43</v>
      </c>
      <c r="I79" s="72"/>
      <c r="J79" s="177"/>
      <c r="K79" s="176"/>
      <c r="L79" s="173"/>
    </row>
    <row r="80" ht="45" customHeight="1" spans="1:12">
      <c r="A80" s="174" t="s">
        <v>1164</v>
      </c>
      <c r="B80" s="102" t="s">
        <v>49</v>
      </c>
      <c r="C80" s="101" t="s">
        <v>1699</v>
      </c>
      <c r="D80" s="87" t="s">
        <v>1700</v>
      </c>
      <c r="E80" s="175" t="s">
        <v>132</v>
      </c>
      <c r="F80" s="175">
        <v>1</v>
      </c>
      <c r="G80" s="175" t="s">
        <v>65</v>
      </c>
      <c r="H80" s="136">
        <v>64</v>
      </c>
      <c r="I80" s="72"/>
      <c r="J80" s="177"/>
      <c r="K80" s="176"/>
      <c r="L80" s="173"/>
    </row>
    <row r="81" ht="45" customHeight="1" spans="1:12">
      <c r="A81" s="174" t="s">
        <v>1164</v>
      </c>
      <c r="B81" s="102" t="s">
        <v>49</v>
      </c>
      <c r="C81" s="101" t="s">
        <v>1701</v>
      </c>
      <c r="D81" s="87" t="s">
        <v>1702</v>
      </c>
      <c r="E81" s="175" t="s">
        <v>132</v>
      </c>
      <c r="F81" s="175">
        <v>1</v>
      </c>
      <c r="G81" s="175" t="s">
        <v>65</v>
      </c>
      <c r="H81" s="136">
        <v>81</v>
      </c>
      <c r="I81" s="72"/>
      <c r="J81" s="177"/>
      <c r="K81" s="176"/>
      <c r="L81" s="173"/>
    </row>
    <row r="82" ht="45" customHeight="1" spans="1:12">
      <c r="A82" s="174" t="s">
        <v>1164</v>
      </c>
      <c r="B82" s="102" t="s">
        <v>49</v>
      </c>
      <c r="C82" s="101" t="s">
        <v>1703</v>
      </c>
      <c r="D82" s="87" t="s">
        <v>1704</v>
      </c>
      <c r="E82" s="175" t="s">
        <v>132</v>
      </c>
      <c r="F82" s="175">
        <v>1</v>
      </c>
      <c r="G82" s="175" t="s">
        <v>65</v>
      </c>
      <c r="H82" s="136">
        <v>77</v>
      </c>
      <c r="I82" s="72"/>
      <c r="J82" s="177"/>
      <c r="K82" s="176"/>
      <c r="L82" s="173"/>
    </row>
    <row r="83" ht="45" customHeight="1" spans="1:12">
      <c r="A83" s="174" t="s">
        <v>1164</v>
      </c>
      <c r="B83" s="102" t="s">
        <v>49</v>
      </c>
      <c r="C83" s="101" t="s">
        <v>1705</v>
      </c>
      <c r="D83" s="87" t="s">
        <v>1706</v>
      </c>
      <c r="E83" s="175" t="s">
        <v>132</v>
      </c>
      <c r="F83" s="175">
        <v>1</v>
      </c>
      <c r="G83" s="175" t="s">
        <v>65</v>
      </c>
      <c r="H83" s="136">
        <v>41</v>
      </c>
      <c r="I83" s="72"/>
      <c r="J83" s="177"/>
      <c r="K83" s="176"/>
      <c r="L83" s="173"/>
    </row>
    <row r="84" ht="45" customHeight="1" spans="1:12">
      <c r="A84" s="174" t="s">
        <v>1164</v>
      </c>
      <c r="B84" s="102" t="s">
        <v>49</v>
      </c>
      <c r="C84" s="101" t="s">
        <v>1707</v>
      </c>
      <c r="D84" s="87" t="s">
        <v>1708</v>
      </c>
      <c r="E84" s="175" t="s">
        <v>132</v>
      </c>
      <c r="F84" s="175">
        <v>1</v>
      </c>
      <c r="G84" s="175" t="s">
        <v>65</v>
      </c>
      <c r="H84" s="136">
        <v>53</v>
      </c>
      <c r="I84" s="72"/>
      <c r="J84" s="177"/>
      <c r="K84" s="176"/>
      <c r="L84" s="173"/>
    </row>
    <row r="85" ht="45" customHeight="1" spans="1:12">
      <c r="A85" s="174" t="s">
        <v>1164</v>
      </c>
      <c r="B85" s="102" t="s">
        <v>49</v>
      </c>
      <c r="C85" s="101" t="s">
        <v>1709</v>
      </c>
      <c r="D85" s="87" t="s">
        <v>1710</v>
      </c>
      <c r="E85" s="175" t="s">
        <v>132</v>
      </c>
      <c r="F85" s="175">
        <v>1</v>
      </c>
      <c r="G85" s="175" t="s">
        <v>65</v>
      </c>
      <c r="H85" s="136">
        <v>85</v>
      </c>
      <c r="I85" s="72"/>
      <c r="J85" s="177"/>
      <c r="K85" s="176"/>
      <c r="L85" s="173"/>
    </row>
    <row r="86" ht="45" customHeight="1" spans="1:12">
      <c r="A86" s="174" t="s">
        <v>1164</v>
      </c>
      <c r="B86" s="102" t="s">
        <v>49</v>
      </c>
      <c r="C86" s="101" t="s">
        <v>1711</v>
      </c>
      <c r="D86" s="87" t="s">
        <v>1712</v>
      </c>
      <c r="E86" s="128" t="s">
        <v>132</v>
      </c>
      <c r="F86" s="128">
        <v>1</v>
      </c>
      <c r="G86" s="175" t="s">
        <v>65</v>
      </c>
      <c r="H86" s="136">
        <v>42.55</v>
      </c>
      <c r="I86" s="72"/>
      <c r="J86" s="177" t="s">
        <v>285</v>
      </c>
      <c r="K86" s="162"/>
      <c r="L86" s="173"/>
    </row>
    <row r="87" ht="45" customHeight="1" spans="1:12">
      <c r="A87" s="174" t="s">
        <v>1164</v>
      </c>
      <c r="B87" s="102" t="s">
        <v>49</v>
      </c>
      <c r="C87" s="101" t="s">
        <v>1713</v>
      </c>
      <c r="D87" s="87" t="s">
        <v>1714</v>
      </c>
      <c r="E87" s="128" t="s">
        <v>132</v>
      </c>
      <c r="F87" s="128">
        <v>1</v>
      </c>
      <c r="G87" s="175" t="s">
        <v>65</v>
      </c>
      <c r="H87" s="136">
        <v>48</v>
      </c>
      <c r="I87" s="72"/>
      <c r="J87" s="177"/>
      <c r="K87" s="162"/>
      <c r="L87" s="173"/>
    </row>
    <row r="88" ht="45" customHeight="1" spans="1:12">
      <c r="A88" s="174" t="s">
        <v>1164</v>
      </c>
      <c r="B88" s="102" t="s">
        <v>49</v>
      </c>
      <c r="C88" s="101" t="s">
        <v>1715</v>
      </c>
      <c r="D88" s="87" t="s">
        <v>1716</v>
      </c>
      <c r="E88" s="128" t="s">
        <v>132</v>
      </c>
      <c r="F88" s="128">
        <v>1</v>
      </c>
      <c r="G88" s="175" t="s">
        <v>65</v>
      </c>
      <c r="H88" s="136">
        <v>63</v>
      </c>
      <c r="I88" s="99"/>
      <c r="J88" s="177"/>
      <c r="K88" s="162"/>
      <c r="L88" s="173"/>
    </row>
    <row r="89" ht="45" customHeight="1" spans="1:12">
      <c r="A89" s="174" t="s">
        <v>1164</v>
      </c>
      <c r="B89" s="102" t="s">
        <v>49</v>
      </c>
      <c r="C89" s="101" t="s">
        <v>1717</v>
      </c>
      <c r="D89" s="87" t="s">
        <v>1718</v>
      </c>
      <c r="E89" s="128" t="s">
        <v>132</v>
      </c>
      <c r="F89" s="128">
        <v>0</v>
      </c>
      <c r="G89" s="175" t="s">
        <v>65</v>
      </c>
      <c r="H89" s="136">
        <v>98</v>
      </c>
      <c r="I89" s="114"/>
      <c r="J89" s="177"/>
      <c r="K89" s="162"/>
      <c r="L89" s="173"/>
    </row>
    <row r="90" ht="45" customHeight="1" spans="1:12">
      <c r="A90" s="174" t="s">
        <v>1164</v>
      </c>
      <c r="B90" s="102" t="s">
        <v>49</v>
      </c>
      <c r="C90" s="101" t="s">
        <v>1719</v>
      </c>
      <c r="D90" s="87" t="s">
        <v>1720</v>
      </c>
      <c r="E90" s="128" t="s">
        <v>132</v>
      </c>
      <c r="F90" s="128">
        <v>0</v>
      </c>
      <c r="G90" s="175" t="s">
        <v>65</v>
      </c>
      <c r="H90" s="136">
        <v>98</v>
      </c>
      <c r="I90" s="114"/>
      <c r="J90" s="177"/>
      <c r="K90" s="162"/>
      <c r="L90" s="173"/>
    </row>
    <row r="91" ht="45" customHeight="1" spans="1:12">
      <c r="A91" s="174" t="s">
        <v>1164</v>
      </c>
      <c r="B91" s="102" t="s">
        <v>49</v>
      </c>
      <c r="C91" s="101" t="s">
        <v>1721</v>
      </c>
      <c r="D91" s="87" t="s">
        <v>1722</v>
      </c>
      <c r="E91" s="128" t="s">
        <v>132</v>
      </c>
      <c r="F91" s="128">
        <v>0</v>
      </c>
      <c r="G91" s="175" t="s">
        <v>65</v>
      </c>
      <c r="H91" s="136">
        <v>84</v>
      </c>
      <c r="I91" s="114"/>
      <c r="J91" s="177"/>
      <c r="K91" s="162"/>
      <c r="L91" s="173"/>
    </row>
    <row r="92" ht="45" customHeight="1" spans="1:12">
      <c r="A92" s="174" t="s">
        <v>1164</v>
      </c>
      <c r="B92" s="102" t="s">
        <v>49</v>
      </c>
      <c r="C92" s="101" t="s">
        <v>1723</v>
      </c>
      <c r="D92" s="87" t="s">
        <v>1724</v>
      </c>
      <c r="E92" s="128" t="s">
        <v>132</v>
      </c>
      <c r="F92" s="128">
        <v>0</v>
      </c>
      <c r="G92" s="175" t="s">
        <v>65</v>
      </c>
      <c r="H92" s="136">
        <v>84</v>
      </c>
      <c r="I92" s="114"/>
      <c r="J92" s="177"/>
      <c r="K92" s="162"/>
      <c r="L92" s="173"/>
    </row>
    <row r="93" ht="45" customHeight="1" spans="1:12">
      <c r="A93" s="174" t="s">
        <v>1164</v>
      </c>
      <c r="B93" s="102" t="s">
        <v>49</v>
      </c>
      <c r="C93" s="101" t="s">
        <v>1725</v>
      </c>
      <c r="D93" s="87" t="s">
        <v>1726</v>
      </c>
      <c r="E93" s="128" t="s">
        <v>132</v>
      </c>
      <c r="F93" s="128">
        <v>0</v>
      </c>
      <c r="G93" s="175" t="s">
        <v>65</v>
      </c>
      <c r="H93" s="136">
        <v>84</v>
      </c>
      <c r="I93" s="114"/>
      <c r="J93" s="177"/>
      <c r="K93" s="162"/>
      <c r="L93" s="173"/>
    </row>
    <row r="94" ht="45" customHeight="1" spans="1:12">
      <c r="A94" s="174" t="s">
        <v>1164</v>
      </c>
      <c r="B94" s="102" t="s">
        <v>49</v>
      </c>
      <c r="C94" s="101" t="s">
        <v>1727</v>
      </c>
      <c r="D94" s="87" t="s">
        <v>1728</v>
      </c>
      <c r="E94" s="128" t="s">
        <v>132</v>
      </c>
      <c r="F94" s="128">
        <v>0</v>
      </c>
      <c r="G94" s="175" t="s">
        <v>65</v>
      </c>
      <c r="H94" s="136">
        <v>154</v>
      </c>
      <c r="I94" s="72"/>
      <c r="J94" s="177"/>
      <c r="K94" s="162"/>
      <c r="L94" s="173"/>
    </row>
    <row r="95" ht="45" customHeight="1" spans="1:12">
      <c r="A95" s="174" t="s">
        <v>1138</v>
      </c>
      <c r="B95" s="102" t="s">
        <v>49</v>
      </c>
      <c r="C95" s="101" t="s">
        <v>1729</v>
      </c>
      <c r="D95" s="87" t="s">
        <v>1730</v>
      </c>
      <c r="E95" s="128" t="s">
        <v>132</v>
      </c>
      <c r="F95" s="128">
        <v>0</v>
      </c>
      <c r="G95" s="175" t="s">
        <v>65</v>
      </c>
      <c r="H95" s="136">
        <v>154</v>
      </c>
      <c r="I95" s="72"/>
      <c r="J95" s="177"/>
      <c r="K95" s="178"/>
      <c r="L95" s="173"/>
    </row>
    <row r="96" ht="45" customHeight="1" spans="1:12">
      <c r="A96" s="174" t="s">
        <v>1138</v>
      </c>
      <c r="B96" s="102" t="s">
        <v>49</v>
      </c>
      <c r="C96" s="101" t="s">
        <v>1731</v>
      </c>
      <c r="D96" s="87" t="s">
        <v>1732</v>
      </c>
      <c r="E96" s="128" t="s">
        <v>132</v>
      </c>
      <c r="F96" s="128">
        <v>0</v>
      </c>
      <c r="G96" s="175" t="s">
        <v>65</v>
      </c>
      <c r="H96" s="136">
        <v>154</v>
      </c>
      <c r="I96" s="72"/>
      <c r="J96" s="177"/>
      <c r="K96" s="178"/>
      <c r="L96" s="173"/>
    </row>
    <row r="97" ht="45" customHeight="1" spans="1:12">
      <c r="A97" s="174" t="s">
        <v>1138</v>
      </c>
      <c r="B97" s="102" t="s">
        <v>49</v>
      </c>
      <c r="C97" s="101" t="s">
        <v>1733</v>
      </c>
      <c r="D97" s="87" t="s">
        <v>1734</v>
      </c>
      <c r="E97" s="128" t="s">
        <v>132</v>
      </c>
      <c r="F97" s="128">
        <v>0</v>
      </c>
      <c r="G97" s="128" t="s">
        <v>65</v>
      </c>
      <c r="H97" s="136">
        <v>378</v>
      </c>
      <c r="I97" s="72"/>
      <c r="J97" s="178"/>
      <c r="K97" s="131"/>
      <c r="L97" s="173"/>
    </row>
    <row r="98" ht="45" customHeight="1" spans="1:12">
      <c r="A98" s="174" t="s">
        <v>1138</v>
      </c>
      <c r="B98" s="102" t="s">
        <v>49</v>
      </c>
      <c r="C98" s="101" t="s">
        <v>1735</v>
      </c>
      <c r="D98" s="87" t="s">
        <v>1736</v>
      </c>
      <c r="E98" s="128" t="s">
        <v>132</v>
      </c>
      <c r="F98" s="128">
        <v>0</v>
      </c>
      <c r="G98" s="128" t="s">
        <v>65</v>
      </c>
      <c r="H98" s="136">
        <v>336</v>
      </c>
      <c r="I98" s="72"/>
      <c r="J98" s="178"/>
      <c r="K98" s="131"/>
      <c r="L98" s="173"/>
    </row>
    <row r="99" ht="45" customHeight="1" spans="1:12">
      <c r="A99" s="174" t="s">
        <v>1138</v>
      </c>
      <c r="B99" s="102" t="s">
        <v>49</v>
      </c>
      <c r="C99" s="101" t="s">
        <v>1737</v>
      </c>
      <c r="D99" s="87" t="s">
        <v>1738</v>
      </c>
      <c r="E99" s="128" t="s">
        <v>132</v>
      </c>
      <c r="F99" s="128">
        <v>0</v>
      </c>
      <c r="G99" s="128" t="s">
        <v>65</v>
      </c>
      <c r="H99" s="136">
        <v>602</v>
      </c>
      <c r="I99" s="72"/>
      <c r="J99" s="177"/>
      <c r="K99" s="178"/>
      <c r="L99" s="173"/>
    </row>
    <row r="100" ht="45" customHeight="1" spans="1:12">
      <c r="A100" s="174" t="s">
        <v>1138</v>
      </c>
      <c r="B100" s="102" t="s">
        <v>49</v>
      </c>
      <c r="C100" s="101" t="s">
        <v>1739</v>
      </c>
      <c r="D100" s="87" t="s">
        <v>1740</v>
      </c>
      <c r="E100" s="128" t="s">
        <v>132</v>
      </c>
      <c r="F100" s="128">
        <v>0</v>
      </c>
      <c r="G100" s="128" t="s">
        <v>65</v>
      </c>
      <c r="H100" s="136">
        <v>602</v>
      </c>
      <c r="I100" s="72"/>
      <c r="J100" s="177"/>
      <c r="K100" s="178"/>
      <c r="L100" s="173"/>
    </row>
    <row r="101" ht="45" customHeight="1" spans="1:12">
      <c r="A101" s="174" t="s">
        <v>1138</v>
      </c>
      <c r="B101" s="102" t="s">
        <v>49</v>
      </c>
      <c r="C101" s="101" t="s">
        <v>1741</v>
      </c>
      <c r="D101" s="87" t="s">
        <v>1742</v>
      </c>
      <c r="E101" s="128" t="s">
        <v>132</v>
      </c>
      <c r="F101" s="128">
        <v>0</v>
      </c>
      <c r="G101" s="128" t="s">
        <v>65</v>
      </c>
      <c r="H101" s="136">
        <v>546</v>
      </c>
      <c r="I101" s="72"/>
      <c r="J101" s="177"/>
      <c r="K101" s="178"/>
      <c r="L101" s="173"/>
    </row>
    <row r="102" ht="45" customHeight="1" spans="1:12">
      <c r="A102" s="174" t="s">
        <v>1138</v>
      </c>
      <c r="B102" s="102" t="s">
        <v>49</v>
      </c>
      <c r="C102" s="101" t="s">
        <v>1743</v>
      </c>
      <c r="D102" s="87" t="s">
        <v>1744</v>
      </c>
      <c r="E102" s="102" t="s">
        <v>132</v>
      </c>
      <c r="F102" s="74">
        <v>0</v>
      </c>
      <c r="G102" s="72" t="s">
        <v>65</v>
      </c>
      <c r="H102" s="136">
        <v>252</v>
      </c>
      <c r="I102" s="72"/>
      <c r="J102" s="102"/>
      <c r="K102" s="178"/>
      <c r="L102" s="173"/>
    </row>
    <row r="103" ht="45" customHeight="1" spans="1:12">
      <c r="A103" s="174" t="s">
        <v>1138</v>
      </c>
      <c r="B103" s="102" t="s">
        <v>49</v>
      </c>
      <c r="C103" s="101" t="s">
        <v>1745</v>
      </c>
      <c r="D103" s="87" t="s">
        <v>1746</v>
      </c>
      <c r="E103" s="128" t="s">
        <v>132</v>
      </c>
      <c r="F103" s="128">
        <v>0</v>
      </c>
      <c r="G103" s="128" t="s">
        <v>65</v>
      </c>
      <c r="H103" s="136">
        <v>252</v>
      </c>
      <c r="I103" s="72"/>
      <c r="J103" s="177"/>
      <c r="K103" s="178"/>
      <c r="L103" s="173"/>
    </row>
    <row r="104" ht="45" customHeight="1" spans="1:12">
      <c r="A104" s="174" t="s">
        <v>1138</v>
      </c>
      <c r="B104" s="102" t="s">
        <v>49</v>
      </c>
      <c r="C104" s="101" t="s">
        <v>1747</v>
      </c>
      <c r="D104" s="87" t="s">
        <v>1748</v>
      </c>
      <c r="E104" s="102" t="s">
        <v>132</v>
      </c>
      <c r="F104" s="74">
        <v>0</v>
      </c>
      <c r="G104" s="72" t="s">
        <v>65</v>
      </c>
      <c r="H104" s="136">
        <v>252</v>
      </c>
      <c r="I104" s="72"/>
      <c r="J104" s="102"/>
      <c r="K104" s="178"/>
      <c r="L104" s="173"/>
    </row>
    <row r="105" ht="45" customHeight="1" spans="1:12">
      <c r="A105" s="174" t="s">
        <v>1138</v>
      </c>
      <c r="B105" s="102" t="s">
        <v>49</v>
      </c>
      <c r="C105" s="101" t="s">
        <v>1749</v>
      </c>
      <c r="D105" s="87" t="s">
        <v>1750</v>
      </c>
      <c r="E105" s="128" t="s">
        <v>132</v>
      </c>
      <c r="F105" s="128">
        <v>0</v>
      </c>
      <c r="G105" s="128" t="s">
        <v>65</v>
      </c>
      <c r="H105" s="136">
        <v>350</v>
      </c>
      <c r="I105" s="72"/>
      <c r="J105" s="177"/>
      <c r="K105" s="178"/>
      <c r="L105" s="173"/>
    </row>
    <row r="106" ht="45" customHeight="1" spans="1:12">
      <c r="A106" s="174" t="s">
        <v>1138</v>
      </c>
      <c r="B106" s="102" t="s">
        <v>49</v>
      </c>
      <c r="C106" s="101" t="s">
        <v>1751</v>
      </c>
      <c r="D106" s="87" t="s">
        <v>1752</v>
      </c>
      <c r="E106" s="128" t="s">
        <v>132</v>
      </c>
      <c r="F106" s="128">
        <v>0</v>
      </c>
      <c r="G106" s="128" t="s">
        <v>65</v>
      </c>
      <c r="H106" s="136">
        <v>504</v>
      </c>
      <c r="I106" s="72"/>
      <c r="J106" s="177"/>
      <c r="K106" s="178"/>
      <c r="L106" s="173"/>
    </row>
    <row r="107" ht="45" customHeight="1" spans="1:12">
      <c r="A107" s="174" t="s">
        <v>1138</v>
      </c>
      <c r="B107" s="102" t="s">
        <v>49</v>
      </c>
      <c r="C107" s="101" t="s">
        <v>1753</v>
      </c>
      <c r="D107" s="87" t="s">
        <v>1754</v>
      </c>
      <c r="E107" s="102" t="s">
        <v>132</v>
      </c>
      <c r="F107" s="74">
        <v>0</v>
      </c>
      <c r="G107" s="72" t="s">
        <v>65</v>
      </c>
      <c r="H107" s="136">
        <v>770</v>
      </c>
      <c r="I107" s="72"/>
      <c r="J107" s="102"/>
      <c r="K107" s="178"/>
      <c r="L107" s="173"/>
    </row>
    <row r="108" ht="45" customHeight="1" spans="1:12">
      <c r="A108" s="174" t="s">
        <v>1138</v>
      </c>
      <c r="B108" s="102" t="s">
        <v>49</v>
      </c>
      <c r="C108" s="101" t="s">
        <v>1755</v>
      </c>
      <c r="D108" s="87" t="s">
        <v>1756</v>
      </c>
      <c r="E108" s="128" t="s">
        <v>132</v>
      </c>
      <c r="F108" s="128">
        <v>0</v>
      </c>
      <c r="G108" s="128" t="s">
        <v>65</v>
      </c>
      <c r="H108" s="136">
        <v>966</v>
      </c>
      <c r="I108" s="72"/>
      <c r="J108" s="177"/>
      <c r="K108" s="178"/>
      <c r="L108" s="173"/>
    </row>
    <row r="109" ht="45" customHeight="1" spans="1:12">
      <c r="A109" s="174" t="s">
        <v>1138</v>
      </c>
      <c r="B109" s="102" t="s">
        <v>49</v>
      </c>
      <c r="C109" s="101" t="s">
        <v>1757</v>
      </c>
      <c r="D109" s="87" t="s">
        <v>1758</v>
      </c>
      <c r="E109" s="128" t="s">
        <v>132</v>
      </c>
      <c r="F109" s="128">
        <v>0</v>
      </c>
      <c r="G109" s="128" t="s">
        <v>65</v>
      </c>
      <c r="H109" s="136">
        <v>924</v>
      </c>
      <c r="I109" s="72"/>
      <c r="J109" s="177"/>
      <c r="K109" s="178"/>
      <c r="L109" s="173"/>
    </row>
    <row r="110" ht="45" customHeight="1" spans="1:12">
      <c r="A110" s="174" t="s">
        <v>1138</v>
      </c>
      <c r="B110" s="102" t="s">
        <v>49</v>
      </c>
      <c r="C110" s="101" t="s">
        <v>1759</v>
      </c>
      <c r="D110" s="87" t="s">
        <v>1760</v>
      </c>
      <c r="E110" s="102" t="s">
        <v>132</v>
      </c>
      <c r="F110" s="74">
        <v>0</v>
      </c>
      <c r="G110" s="72" t="s">
        <v>65</v>
      </c>
      <c r="H110" s="136">
        <v>490</v>
      </c>
      <c r="I110" s="72"/>
      <c r="J110" s="102"/>
      <c r="K110" s="178"/>
      <c r="L110" s="173"/>
    </row>
    <row r="111" ht="45" customHeight="1" spans="1:12">
      <c r="A111" s="174" t="s">
        <v>1138</v>
      </c>
      <c r="B111" s="102" t="s">
        <v>49</v>
      </c>
      <c r="C111" s="101" t="s">
        <v>1761</v>
      </c>
      <c r="D111" s="87" t="s">
        <v>1762</v>
      </c>
      <c r="E111" s="102" t="s">
        <v>132</v>
      </c>
      <c r="F111" s="74">
        <v>0</v>
      </c>
      <c r="G111" s="72" t="s">
        <v>65</v>
      </c>
      <c r="H111" s="136">
        <v>644</v>
      </c>
      <c r="I111" s="72"/>
      <c r="J111" s="102"/>
      <c r="K111" s="178"/>
      <c r="L111" s="173"/>
    </row>
    <row r="112" ht="45" customHeight="1" spans="1:12">
      <c r="A112" s="174" t="s">
        <v>1138</v>
      </c>
      <c r="B112" s="102" t="s">
        <v>49</v>
      </c>
      <c r="C112" s="101" t="s">
        <v>1763</v>
      </c>
      <c r="D112" s="87" t="s">
        <v>1764</v>
      </c>
      <c r="E112" s="102" t="s">
        <v>132</v>
      </c>
      <c r="F112" s="74">
        <v>0</v>
      </c>
      <c r="G112" s="72" t="s">
        <v>65</v>
      </c>
      <c r="H112" s="136">
        <v>1022</v>
      </c>
      <c r="I112" s="72"/>
      <c r="J112" s="102"/>
      <c r="K112" s="178"/>
      <c r="L112" s="173"/>
    </row>
    <row r="113" ht="45" customHeight="1" spans="1:12">
      <c r="A113" s="174" t="s">
        <v>1138</v>
      </c>
      <c r="B113" s="102" t="s">
        <v>49</v>
      </c>
      <c r="C113" s="101" t="s">
        <v>1765</v>
      </c>
      <c r="D113" s="87" t="s">
        <v>1766</v>
      </c>
      <c r="E113" s="102" t="s">
        <v>132</v>
      </c>
      <c r="F113" s="74">
        <v>0</v>
      </c>
      <c r="G113" s="72" t="s">
        <v>65</v>
      </c>
      <c r="H113" s="136">
        <v>506</v>
      </c>
      <c r="I113" s="72"/>
      <c r="J113" s="177" t="s">
        <v>285</v>
      </c>
      <c r="K113" s="178"/>
      <c r="L113" s="173"/>
    </row>
    <row r="114" ht="45" customHeight="1" spans="1:12">
      <c r="A114" s="174" t="s">
        <v>1138</v>
      </c>
      <c r="B114" s="102" t="s">
        <v>49</v>
      </c>
      <c r="C114" s="101" t="s">
        <v>1767</v>
      </c>
      <c r="D114" s="87" t="s">
        <v>1768</v>
      </c>
      <c r="E114" s="102" t="s">
        <v>132</v>
      </c>
      <c r="F114" s="74">
        <v>0</v>
      </c>
      <c r="G114" s="72" t="s">
        <v>65</v>
      </c>
      <c r="H114" s="136">
        <v>574</v>
      </c>
      <c r="I114" s="72"/>
      <c r="J114" s="177"/>
      <c r="K114" s="178"/>
      <c r="L114" s="173"/>
    </row>
    <row r="115" ht="45" customHeight="1" spans="1:12">
      <c r="A115" s="174" t="s">
        <v>1138</v>
      </c>
      <c r="B115" s="102" t="s">
        <v>49</v>
      </c>
      <c r="C115" s="101" t="s">
        <v>1769</v>
      </c>
      <c r="D115" s="87" t="s">
        <v>1770</v>
      </c>
      <c r="E115" s="102" t="s">
        <v>132</v>
      </c>
      <c r="F115" s="74">
        <v>0</v>
      </c>
      <c r="G115" s="72" t="s">
        <v>65</v>
      </c>
      <c r="H115" s="136">
        <v>756</v>
      </c>
      <c r="I115" s="72"/>
      <c r="J115" s="177"/>
      <c r="K115" s="178"/>
      <c r="L115" s="173"/>
    </row>
    <row r="116" ht="45" customHeight="1" spans="1:12">
      <c r="A116" s="174" t="s">
        <v>1138</v>
      </c>
      <c r="B116" s="102" t="s">
        <v>49</v>
      </c>
      <c r="C116" s="101" t="s">
        <v>1771</v>
      </c>
      <c r="D116" s="87" t="s">
        <v>1772</v>
      </c>
      <c r="E116" s="102" t="s">
        <v>132</v>
      </c>
      <c r="F116" s="74">
        <v>0</v>
      </c>
      <c r="G116" s="72" t="s">
        <v>65</v>
      </c>
      <c r="H116" s="136">
        <v>1120</v>
      </c>
      <c r="I116" s="72"/>
      <c r="J116" s="177"/>
      <c r="K116" s="178"/>
      <c r="L116" s="173"/>
    </row>
    <row r="117" ht="45" customHeight="1" spans="1:12">
      <c r="A117" s="174" t="s">
        <v>1138</v>
      </c>
      <c r="B117" s="102" t="s">
        <v>49</v>
      </c>
      <c r="C117" s="101" t="s">
        <v>1773</v>
      </c>
      <c r="D117" s="87" t="s">
        <v>1774</v>
      </c>
      <c r="E117" s="102" t="s">
        <v>132</v>
      </c>
      <c r="F117" s="74">
        <v>0</v>
      </c>
      <c r="G117" s="72" t="s">
        <v>65</v>
      </c>
      <c r="H117" s="136">
        <v>1120</v>
      </c>
      <c r="I117" s="114"/>
      <c r="J117" s="177"/>
      <c r="K117" s="178"/>
      <c r="L117" s="173"/>
    </row>
    <row r="118" ht="45" customHeight="1" spans="1:12">
      <c r="A118" s="174" t="s">
        <v>1138</v>
      </c>
      <c r="B118" s="102" t="s">
        <v>49</v>
      </c>
      <c r="C118" s="101" t="s">
        <v>1775</v>
      </c>
      <c r="D118" s="87" t="s">
        <v>1776</v>
      </c>
      <c r="E118" s="102" t="s">
        <v>132</v>
      </c>
      <c r="F118" s="74">
        <v>0</v>
      </c>
      <c r="G118" s="72" t="s">
        <v>65</v>
      </c>
      <c r="H118" s="136">
        <v>980</v>
      </c>
      <c r="I118" s="114"/>
      <c r="J118" s="177"/>
      <c r="K118" s="178"/>
      <c r="L118" s="173"/>
    </row>
    <row r="119" ht="45" customHeight="1" spans="1:12">
      <c r="A119" s="174" t="s">
        <v>1138</v>
      </c>
      <c r="B119" s="102" t="s">
        <v>49</v>
      </c>
      <c r="C119" s="101" t="s">
        <v>1777</v>
      </c>
      <c r="D119" s="87" t="s">
        <v>1778</v>
      </c>
      <c r="E119" s="102" t="s">
        <v>132</v>
      </c>
      <c r="F119" s="74">
        <v>0</v>
      </c>
      <c r="G119" s="72" t="s">
        <v>65</v>
      </c>
      <c r="H119" s="136">
        <v>980</v>
      </c>
      <c r="I119" s="114"/>
      <c r="J119" s="177"/>
      <c r="K119" s="178"/>
      <c r="L119" s="173"/>
    </row>
    <row r="120" ht="45" customHeight="1" spans="1:12">
      <c r="A120" s="174" t="s">
        <v>1138</v>
      </c>
      <c r="B120" s="102" t="s">
        <v>49</v>
      </c>
      <c r="C120" s="101" t="s">
        <v>1779</v>
      </c>
      <c r="D120" s="87" t="s">
        <v>1780</v>
      </c>
      <c r="E120" s="102" t="s">
        <v>132</v>
      </c>
      <c r="F120" s="74">
        <v>0</v>
      </c>
      <c r="G120" s="72" t="s">
        <v>65</v>
      </c>
      <c r="H120" s="136">
        <v>980</v>
      </c>
      <c r="I120" s="114"/>
      <c r="J120" s="177"/>
      <c r="K120" s="178"/>
      <c r="L120" s="173"/>
    </row>
    <row r="121" ht="45" customHeight="1" spans="1:12">
      <c r="A121" s="174" t="s">
        <v>1138</v>
      </c>
      <c r="B121" s="102" t="s">
        <v>49</v>
      </c>
      <c r="C121" s="101" t="s">
        <v>1781</v>
      </c>
      <c r="D121" s="87" t="s">
        <v>1782</v>
      </c>
      <c r="E121" s="102" t="s">
        <v>132</v>
      </c>
      <c r="F121" s="74">
        <v>0</v>
      </c>
      <c r="G121" s="72" t="s">
        <v>65</v>
      </c>
      <c r="H121" s="136">
        <v>294</v>
      </c>
      <c r="I121" s="72"/>
      <c r="J121" s="178"/>
      <c r="K121" s="178"/>
      <c r="L121" s="173"/>
    </row>
    <row r="122" ht="45" customHeight="1" spans="1:12">
      <c r="A122" s="174" t="s">
        <v>1138</v>
      </c>
      <c r="B122" s="102" t="s">
        <v>49</v>
      </c>
      <c r="C122" s="101" t="s">
        <v>1783</v>
      </c>
      <c r="D122" s="87" t="s">
        <v>1784</v>
      </c>
      <c r="E122" s="102" t="s">
        <v>132</v>
      </c>
      <c r="F122" s="74">
        <v>0</v>
      </c>
      <c r="G122" s="128" t="s">
        <v>65</v>
      </c>
      <c r="H122" s="136">
        <v>294</v>
      </c>
      <c r="I122" s="72"/>
      <c r="J122" s="178"/>
      <c r="K122" s="95"/>
      <c r="L122" s="173"/>
    </row>
    <row r="123" ht="45" customHeight="1" spans="1:12">
      <c r="A123" s="174" t="s">
        <v>1138</v>
      </c>
      <c r="B123" s="102" t="s">
        <v>49</v>
      </c>
      <c r="C123" s="101" t="s">
        <v>1785</v>
      </c>
      <c r="D123" s="87" t="s">
        <v>1786</v>
      </c>
      <c r="E123" s="102" t="s">
        <v>132</v>
      </c>
      <c r="F123" s="74">
        <v>0</v>
      </c>
      <c r="G123" s="128" t="s">
        <v>65</v>
      </c>
      <c r="H123" s="136">
        <v>294</v>
      </c>
      <c r="I123" s="72"/>
      <c r="J123" s="178"/>
      <c r="K123" s="95"/>
      <c r="L123" s="173"/>
    </row>
    <row r="124" ht="45" customHeight="1" spans="1:12">
      <c r="A124" s="174" t="s">
        <v>1138</v>
      </c>
      <c r="B124" s="102" t="s">
        <v>49</v>
      </c>
      <c r="C124" s="101" t="s">
        <v>1787</v>
      </c>
      <c r="D124" s="87" t="s">
        <v>1788</v>
      </c>
      <c r="E124" s="102" t="s">
        <v>132</v>
      </c>
      <c r="F124" s="74">
        <v>0</v>
      </c>
      <c r="G124" s="128" t="s">
        <v>65</v>
      </c>
      <c r="H124" s="136">
        <v>714</v>
      </c>
      <c r="I124" s="72"/>
      <c r="J124" s="178"/>
      <c r="K124" s="131"/>
      <c r="L124" s="173"/>
    </row>
    <row r="125" ht="45" customHeight="1" spans="1:12">
      <c r="A125" s="174" t="s">
        <v>1138</v>
      </c>
      <c r="B125" s="102" t="s">
        <v>49</v>
      </c>
      <c r="C125" s="101" t="s">
        <v>1789</v>
      </c>
      <c r="D125" s="87" t="s">
        <v>1790</v>
      </c>
      <c r="E125" s="102" t="s">
        <v>132</v>
      </c>
      <c r="F125" s="74">
        <v>0</v>
      </c>
      <c r="G125" s="128" t="s">
        <v>65</v>
      </c>
      <c r="H125" s="136">
        <v>630</v>
      </c>
      <c r="I125" s="72"/>
      <c r="J125" s="178"/>
      <c r="K125" s="131"/>
      <c r="L125" s="173"/>
    </row>
    <row r="126" ht="45" customHeight="1" spans="1:12">
      <c r="A126" s="174" t="s">
        <v>1138</v>
      </c>
      <c r="B126" s="102" t="s">
        <v>49</v>
      </c>
      <c r="C126" s="101" t="s">
        <v>1791</v>
      </c>
      <c r="D126" s="87" t="s">
        <v>1792</v>
      </c>
      <c r="E126" s="102" t="s">
        <v>132</v>
      </c>
      <c r="F126" s="74">
        <v>0</v>
      </c>
      <c r="G126" s="128" t="s">
        <v>65</v>
      </c>
      <c r="H126" s="136">
        <v>1120</v>
      </c>
      <c r="I126" s="72"/>
      <c r="J126" s="178"/>
      <c r="K126" s="95"/>
      <c r="L126" s="173"/>
    </row>
    <row r="127" ht="45" customHeight="1" spans="1:12">
      <c r="A127" s="174" t="s">
        <v>1138</v>
      </c>
      <c r="B127" s="102" t="s">
        <v>49</v>
      </c>
      <c r="C127" s="101" t="s">
        <v>1793</v>
      </c>
      <c r="D127" s="87" t="s">
        <v>1794</v>
      </c>
      <c r="E127" s="102" t="s">
        <v>132</v>
      </c>
      <c r="F127" s="74">
        <v>0</v>
      </c>
      <c r="G127" s="128" t="s">
        <v>65</v>
      </c>
      <c r="H127" s="136">
        <v>1120</v>
      </c>
      <c r="I127" s="72"/>
      <c r="J127" s="178"/>
      <c r="K127" s="95"/>
      <c r="L127" s="173"/>
    </row>
    <row r="128" ht="45" customHeight="1" spans="1:12">
      <c r="A128" s="174" t="s">
        <v>1138</v>
      </c>
      <c r="B128" s="102" t="s">
        <v>49</v>
      </c>
      <c r="C128" s="101" t="s">
        <v>1795</v>
      </c>
      <c r="D128" s="87" t="s">
        <v>1796</v>
      </c>
      <c r="E128" s="102" t="s">
        <v>132</v>
      </c>
      <c r="F128" s="74">
        <v>0</v>
      </c>
      <c r="G128" s="128" t="s">
        <v>65</v>
      </c>
      <c r="H128" s="136">
        <v>1022</v>
      </c>
      <c r="I128" s="72"/>
      <c r="J128" s="178"/>
      <c r="K128" s="95"/>
      <c r="L128" s="173"/>
    </row>
    <row r="129" ht="45" customHeight="1" spans="1:19">
      <c r="A129" s="174" t="s">
        <v>1138</v>
      </c>
      <c r="B129" s="102" t="s">
        <v>49</v>
      </c>
      <c r="C129" s="101" t="s">
        <v>1797</v>
      </c>
      <c r="D129" s="87" t="s">
        <v>1798</v>
      </c>
      <c r="E129" s="102" t="s">
        <v>132</v>
      </c>
      <c r="F129" s="74">
        <v>0</v>
      </c>
      <c r="G129" s="128" t="s">
        <v>65</v>
      </c>
      <c r="H129" s="136">
        <v>476</v>
      </c>
      <c r="I129" s="72"/>
      <c r="J129" s="178"/>
      <c r="K129" s="95"/>
      <c r="L129" s="173"/>
    </row>
    <row r="130" ht="45" customHeight="1" spans="1:19">
      <c r="A130" s="174" t="s">
        <v>1138</v>
      </c>
      <c r="B130" s="102" t="s">
        <v>49</v>
      </c>
      <c r="C130" s="101" t="s">
        <v>1799</v>
      </c>
      <c r="D130" s="87" t="s">
        <v>1800</v>
      </c>
      <c r="E130" s="102" t="s">
        <v>132</v>
      </c>
      <c r="F130" s="74">
        <v>0</v>
      </c>
      <c r="G130" s="128" t="s">
        <v>65</v>
      </c>
      <c r="H130" s="136">
        <v>476</v>
      </c>
      <c r="I130" s="72"/>
      <c r="J130" s="178"/>
      <c r="K130" s="95"/>
      <c r="L130" s="173"/>
    </row>
    <row r="131" ht="45" customHeight="1" spans="1:19">
      <c r="A131" s="174" t="s">
        <v>1138</v>
      </c>
      <c r="B131" s="102" t="s">
        <v>49</v>
      </c>
      <c r="C131" s="101" t="s">
        <v>1801</v>
      </c>
      <c r="D131" s="87" t="s">
        <v>1802</v>
      </c>
      <c r="E131" s="102" t="s">
        <v>132</v>
      </c>
      <c r="F131" s="74">
        <v>0</v>
      </c>
      <c r="G131" s="128" t="s">
        <v>65</v>
      </c>
      <c r="H131" s="136">
        <v>476</v>
      </c>
      <c r="I131" s="72"/>
      <c r="J131" s="178"/>
      <c r="K131" s="95"/>
      <c r="L131" s="173"/>
    </row>
    <row r="132" ht="45" customHeight="1" spans="1:19">
      <c r="A132" s="174" t="s">
        <v>1138</v>
      </c>
      <c r="B132" s="102" t="s">
        <v>49</v>
      </c>
      <c r="C132" s="101" t="s">
        <v>1803</v>
      </c>
      <c r="D132" s="87" t="s">
        <v>1804</v>
      </c>
      <c r="E132" s="102" t="s">
        <v>132</v>
      </c>
      <c r="F132" s="74">
        <v>0</v>
      </c>
      <c r="G132" s="128" t="s">
        <v>65</v>
      </c>
      <c r="H132" s="136">
        <v>672</v>
      </c>
      <c r="I132" s="72"/>
      <c r="J132" s="178"/>
      <c r="K132" s="95"/>
      <c r="L132" s="173"/>
    </row>
    <row r="133" ht="45" customHeight="1" spans="1:19">
      <c r="A133" s="174" t="s">
        <v>1138</v>
      </c>
      <c r="B133" s="102" t="s">
        <v>49</v>
      </c>
      <c r="C133" s="101" t="s">
        <v>1805</v>
      </c>
      <c r="D133" s="87" t="s">
        <v>1806</v>
      </c>
      <c r="E133" s="102" t="s">
        <v>132</v>
      </c>
      <c r="F133" s="74">
        <v>0</v>
      </c>
      <c r="G133" s="128" t="s">
        <v>65</v>
      </c>
      <c r="H133" s="136">
        <v>966</v>
      </c>
      <c r="I133" s="72"/>
      <c r="J133" s="178"/>
      <c r="K133" s="95"/>
      <c r="L133" s="173"/>
    </row>
    <row r="134" ht="45" customHeight="1" spans="1:19">
      <c r="A134" s="174" t="s">
        <v>1138</v>
      </c>
      <c r="B134" s="102" t="s">
        <v>49</v>
      </c>
      <c r="C134" s="101" t="s">
        <v>1807</v>
      </c>
      <c r="D134" s="87" t="s">
        <v>1808</v>
      </c>
      <c r="E134" s="102" t="s">
        <v>132</v>
      </c>
      <c r="F134" s="74">
        <v>0</v>
      </c>
      <c r="G134" s="128" t="s">
        <v>65</v>
      </c>
      <c r="H134" s="136">
        <v>1442</v>
      </c>
      <c r="I134" s="72"/>
      <c r="J134" s="178"/>
      <c r="K134" s="95"/>
      <c r="L134" s="173"/>
    </row>
    <row r="135" ht="45" customHeight="1" spans="1:19">
      <c r="A135" s="174" t="s">
        <v>1138</v>
      </c>
      <c r="B135" s="102" t="s">
        <v>49</v>
      </c>
      <c r="C135" s="101" t="s">
        <v>1809</v>
      </c>
      <c r="D135" s="87" t="s">
        <v>1810</v>
      </c>
      <c r="E135" s="102" t="s">
        <v>132</v>
      </c>
      <c r="F135" s="74">
        <v>0</v>
      </c>
      <c r="G135" s="128" t="s">
        <v>65</v>
      </c>
      <c r="H135" s="136">
        <v>1820</v>
      </c>
      <c r="I135" s="72"/>
      <c r="J135" s="178"/>
      <c r="K135" s="95"/>
      <c r="L135" s="173"/>
    </row>
    <row r="136" ht="45" customHeight="1" spans="1:19">
      <c r="A136" s="174" t="s">
        <v>1138</v>
      </c>
      <c r="B136" s="102" t="s">
        <v>49</v>
      </c>
      <c r="C136" s="101" t="s">
        <v>1811</v>
      </c>
      <c r="D136" s="87" t="s">
        <v>1812</v>
      </c>
      <c r="E136" s="102" t="s">
        <v>132</v>
      </c>
      <c r="F136" s="74">
        <v>0</v>
      </c>
      <c r="G136" s="128" t="s">
        <v>65</v>
      </c>
      <c r="H136" s="136">
        <v>1736</v>
      </c>
      <c r="I136" s="72"/>
      <c r="J136" s="178"/>
      <c r="K136" s="95"/>
    </row>
    <row r="137" ht="45" customHeight="1" spans="1:19">
      <c r="A137" s="174" t="s">
        <v>1138</v>
      </c>
      <c r="B137" s="102" t="s">
        <v>49</v>
      </c>
      <c r="C137" s="101" t="s">
        <v>1813</v>
      </c>
      <c r="D137" s="87" t="s">
        <v>1814</v>
      </c>
      <c r="E137" s="102" t="s">
        <v>132</v>
      </c>
      <c r="F137" s="74">
        <v>0</v>
      </c>
      <c r="G137" s="128" t="s">
        <v>65</v>
      </c>
      <c r="H137" s="136">
        <v>924</v>
      </c>
      <c r="I137" s="72"/>
      <c r="J137" s="178"/>
      <c r="K137" s="131"/>
      <c r="L137" s="179"/>
      <c r="M137" s="180"/>
      <c r="N137" s="181"/>
      <c r="O137" s="182"/>
      <c r="P137" s="183"/>
      <c r="Q137" s="184"/>
      <c r="R137" s="185"/>
      <c r="S137" s="186"/>
    </row>
    <row r="138" ht="45" customHeight="1" spans="1:19">
      <c r="A138" s="174" t="s">
        <v>1138</v>
      </c>
      <c r="B138" s="102" t="s">
        <v>49</v>
      </c>
      <c r="C138" s="101" t="s">
        <v>1815</v>
      </c>
      <c r="D138" s="87" t="s">
        <v>1816</v>
      </c>
      <c r="E138" s="102" t="s">
        <v>132</v>
      </c>
      <c r="F138" s="74">
        <v>0</v>
      </c>
      <c r="G138" s="128" t="s">
        <v>65</v>
      </c>
      <c r="H138" s="136">
        <v>1204</v>
      </c>
      <c r="I138" s="72"/>
      <c r="J138" s="178"/>
      <c r="K138" s="131"/>
      <c r="L138" s="179"/>
      <c r="M138" s="180"/>
      <c r="N138" s="181"/>
      <c r="O138" s="182"/>
      <c r="P138" s="183"/>
      <c r="Q138" s="184"/>
      <c r="R138" s="185"/>
      <c r="S138" s="186"/>
    </row>
    <row r="139" ht="45" customHeight="1" spans="1:19">
      <c r="A139" s="174" t="s">
        <v>1138</v>
      </c>
      <c r="B139" s="102" t="s">
        <v>49</v>
      </c>
      <c r="C139" s="101" t="s">
        <v>1817</v>
      </c>
      <c r="D139" s="87" t="s">
        <v>1818</v>
      </c>
      <c r="E139" s="102" t="s">
        <v>132</v>
      </c>
      <c r="F139" s="74">
        <v>0</v>
      </c>
      <c r="G139" s="128" t="s">
        <v>65</v>
      </c>
      <c r="H139" s="136">
        <v>1918</v>
      </c>
      <c r="I139" s="72"/>
      <c r="J139" s="177"/>
      <c r="K139" s="95"/>
    </row>
    <row r="140" ht="45" customHeight="1" spans="1:19">
      <c r="A140" s="174" t="s">
        <v>1138</v>
      </c>
      <c r="B140" s="102" t="s">
        <v>49</v>
      </c>
      <c r="C140" s="101" t="s">
        <v>1819</v>
      </c>
      <c r="D140" s="87" t="s">
        <v>1820</v>
      </c>
      <c r="E140" s="102" t="s">
        <v>132</v>
      </c>
      <c r="F140" s="74">
        <v>0</v>
      </c>
      <c r="G140" s="128" t="s">
        <v>65</v>
      </c>
      <c r="H140" s="136">
        <v>966</v>
      </c>
      <c r="I140" s="72"/>
      <c r="J140" s="177" t="s">
        <v>285</v>
      </c>
      <c r="K140" s="95"/>
    </row>
    <row r="141" ht="45" customHeight="1" spans="1:19">
      <c r="A141" s="174" t="s">
        <v>1138</v>
      </c>
      <c r="B141" s="102" t="s">
        <v>49</v>
      </c>
      <c r="C141" s="101" t="s">
        <v>1821</v>
      </c>
      <c r="D141" s="87" t="s">
        <v>1822</v>
      </c>
      <c r="E141" s="102" t="s">
        <v>132</v>
      </c>
      <c r="F141" s="74">
        <v>0</v>
      </c>
      <c r="G141" s="128" t="s">
        <v>65</v>
      </c>
      <c r="H141" s="136">
        <v>1092</v>
      </c>
      <c r="I141" s="72"/>
      <c r="J141" s="177"/>
      <c r="K141" s="95"/>
    </row>
    <row r="142" ht="45" customHeight="1" spans="1:19">
      <c r="A142" s="174" t="s">
        <v>1138</v>
      </c>
      <c r="B142" s="102" t="s">
        <v>49</v>
      </c>
      <c r="C142" s="101" t="s">
        <v>1823</v>
      </c>
      <c r="D142" s="87" t="s">
        <v>1824</v>
      </c>
      <c r="E142" s="102" t="s">
        <v>132</v>
      </c>
      <c r="F142" s="74">
        <v>0</v>
      </c>
      <c r="G142" s="128" t="s">
        <v>65</v>
      </c>
      <c r="H142" s="136">
        <v>1428</v>
      </c>
      <c r="I142" s="72"/>
      <c r="J142" s="177"/>
      <c r="K142" s="95"/>
    </row>
    <row r="143" ht="45" customHeight="1" spans="1:19">
      <c r="A143" s="174" t="s">
        <v>1138</v>
      </c>
      <c r="B143" s="102" t="s">
        <v>49</v>
      </c>
      <c r="C143" s="101" t="s">
        <v>1825</v>
      </c>
      <c r="D143" s="87" t="s">
        <v>1826</v>
      </c>
      <c r="E143" s="102" t="s">
        <v>132</v>
      </c>
      <c r="F143" s="74">
        <v>0</v>
      </c>
      <c r="G143" s="128" t="s">
        <v>65</v>
      </c>
      <c r="H143" s="136">
        <v>2100</v>
      </c>
      <c r="I143" s="72"/>
      <c r="J143" s="177"/>
      <c r="K143" s="95"/>
      <c r="L143" s="173"/>
    </row>
    <row r="144" ht="45" customHeight="1" spans="1:19">
      <c r="A144" s="174" t="s">
        <v>1138</v>
      </c>
      <c r="B144" s="102" t="s">
        <v>49</v>
      </c>
      <c r="C144" s="101" t="s">
        <v>1827</v>
      </c>
      <c r="D144" s="87" t="s">
        <v>1828</v>
      </c>
      <c r="E144" s="102" t="s">
        <v>132</v>
      </c>
      <c r="F144" s="74">
        <v>0</v>
      </c>
      <c r="G144" s="128" t="s">
        <v>65</v>
      </c>
      <c r="H144" s="136">
        <v>2100</v>
      </c>
      <c r="I144" s="114"/>
      <c r="J144" s="177"/>
      <c r="K144" s="95"/>
      <c r="L144" s="173"/>
    </row>
    <row r="145" ht="45" customHeight="1" spans="1:12">
      <c r="A145" s="174" t="s">
        <v>1138</v>
      </c>
      <c r="B145" s="102" t="s">
        <v>49</v>
      </c>
      <c r="C145" s="101" t="s">
        <v>1829</v>
      </c>
      <c r="D145" s="87" t="s">
        <v>1830</v>
      </c>
      <c r="E145" s="102" t="s">
        <v>132</v>
      </c>
      <c r="F145" s="74">
        <v>0</v>
      </c>
      <c r="G145" s="128" t="s">
        <v>65</v>
      </c>
      <c r="H145" s="136">
        <v>1848</v>
      </c>
      <c r="I145" s="114"/>
      <c r="J145" s="177"/>
      <c r="K145" s="95"/>
      <c r="L145" s="173"/>
    </row>
    <row r="146" ht="45" customHeight="1" spans="1:12">
      <c r="A146" s="174" t="s">
        <v>1138</v>
      </c>
      <c r="B146" s="102" t="s">
        <v>49</v>
      </c>
      <c r="C146" s="101" t="s">
        <v>1831</v>
      </c>
      <c r="D146" s="87" t="s">
        <v>1832</v>
      </c>
      <c r="E146" s="102" t="s">
        <v>132</v>
      </c>
      <c r="F146" s="74">
        <v>0</v>
      </c>
      <c r="G146" s="128" t="s">
        <v>65</v>
      </c>
      <c r="H146" s="136">
        <v>1848</v>
      </c>
      <c r="I146" s="114"/>
      <c r="J146" s="177"/>
      <c r="K146" s="95"/>
      <c r="L146" s="173"/>
    </row>
    <row r="147" ht="45" customHeight="1" spans="1:12">
      <c r="A147" s="174" t="s">
        <v>1138</v>
      </c>
      <c r="B147" s="102" t="s">
        <v>49</v>
      </c>
      <c r="C147" s="101" t="s">
        <v>1833</v>
      </c>
      <c r="D147" s="87" t="s">
        <v>1834</v>
      </c>
      <c r="E147" s="102" t="s">
        <v>132</v>
      </c>
      <c r="F147" s="74">
        <v>0</v>
      </c>
      <c r="G147" s="128" t="s">
        <v>65</v>
      </c>
      <c r="H147" s="136">
        <v>1848</v>
      </c>
      <c r="I147" s="114"/>
      <c r="J147" s="177"/>
      <c r="K147" s="95"/>
      <c r="L147" s="173"/>
    </row>
    <row r="148" ht="60" customHeight="1" spans="1:12">
      <c r="A148" s="174" t="s">
        <v>1138</v>
      </c>
      <c r="B148" s="102" t="s">
        <v>49</v>
      </c>
      <c r="C148" s="101" t="s">
        <v>1835</v>
      </c>
      <c r="D148" s="87" t="s">
        <v>1836</v>
      </c>
      <c r="E148" s="102" t="s">
        <v>132</v>
      </c>
      <c r="F148" s="74">
        <v>0</v>
      </c>
      <c r="G148" s="128" t="s">
        <v>65</v>
      </c>
      <c r="H148" s="136">
        <v>420</v>
      </c>
      <c r="I148" s="72"/>
      <c r="J148" s="177"/>
      <c r="K148" s="95"/>
      <c r="L148" s="173"/>
    </row>
    <row r="149" ht="45" customHeight="1" spans="1:12">
      <c r="A149" s="174" t="s">
        <v>1138</v>
      </c>
      <c r="B149" s="102" t="s">
        <v>49</v>
      </c>
      <c r="C149" s="101" t="s">
        <v>1837</v>
      </c>
      <c r="D149" s="87" t="s">
        <v>1838</v>
      </c>
      <c r="E149" s="102" t="s">
        <v>132</v>
      </c>
      <c r="F149" s="74">
        <v>0</v>
      </c>
      <c r="G149" s="72" t="s">
        <v>65</v>
      </c>
      <c r="H149" s="136">
        <v>420</v>
      </c>
      <c r="I149" s="72"/>
      <c r="J149" s="177"/>
      <c r="K149" s="131"/>
      <c r="L149" s="173"/>
    </row>
    <row r="150" ht="45" customHeight="1" spans="1:12">
      <c r="A150" s="174" t="s">
        <v>1138</v>
      </c>
      <c r="B150" s="102" t="s">
        <v>49</v>
      </c>
      <c r="C150" s="101" t="s">
        <v>1839</v>
      </c>
      <c r="D150" s="87" t="s">
        <v>1840</v>
      </c>
      <c r="E150" s="102" t="s">
        <v>132</v>
      </c>
      <c r="F150" s="74">
        <v>0</v>
      </c>
      <c r="G150" s="72" t="s">
        <v>65</v>
      </c>
      <c r="H150" s="136">
        <v>1624</v>
      </c>
      <c r="I150" s="72"/>
      <c r="J150" s="102"/>
      <c r="K150" s="131"/>
      <c r="L150" s="173"/>
    </row>
    <row r="151" ht="45" customHeight="1" spans="1:12">
      <c r="A151" s="174" t="s">
        <v>1138</v>
      </c>
      <c r="B151" s="102" t="s">
        <v>49</v>
      </c>
      <c r="C151" s="101" t="s">
        <v>1841</v>
      </c>
      <c r="D151" s="87" t="s">
        <v>1842</v>
      </c>
      <c r="E151" s="102" t="s">
        <v>132</v>
      </c>
      <c r="F151" s="74">
        <v>0</v>
      </c>
      <c r="G151" s="72" t="s">
        <v>65</v>
      </c>
      <c r="H151" s="136">
        <v>1624</v>
      </c>
      <c r="I151" s="72"/>
      <c r="J151" s="102"/>
      <c r="K151" s="131"/>
    </row>
    <row r="152" ht="45" customHeight="1" spans="1:12">
      <c r="A152" s="174" t="s">
        <v>1138</v>
      </c>
      <c r="B152" s="102" t="s">
        <v>49</v>
      </c>
      <c r="C152" s="101" t="s">
        <v>1843</v>
      </c>
      <c r="D152" s="87" t="s">
        <v>1844</v>
      </c>
      <c r="E152" s="102" t="s">
        <v>132</v>
      </c>
      <c r="F152" s="74">
        <v>0</v>
      </c>
      <c r="G152" s="72" t="s">
        <v>65</v>
      </c>
      <c r="H152" s="136">
        <v>1484</v>
      </c>
      <c r="I152" s="72"/>
      <c r="J152" s="102"/>
      <c r="K152" s="131"/>
      <c r="L152" s="173"/>
    </row>
    <row r="153" ht="45" customHeight="1" spans="1:12">
      <c r="A153" s="174" t="s">
        <v>1138</v>
      </c>
      <c r="B153" s="102" t="s">
        <v>49</v>
      </c>
      <c r="C153" s="101" t="s">
        <v>1845</v>
      </c>
      <c r="D153" s="87" t="s">
        <v>1846</v>
      </c>
      <c r="E153" s="102" t="s">
        <v>132</v>
      </c>
      <c r="F153" s="74">
        <v>0</v>
      </c>
      <c r="G153" s="72" t="s">
        <v>65</v>
      </c>
      <c r="H153" s="136">
        <v>686</v>
      </c>
      <c r="I153" s="72"/>
      <c r="J153" s="102"/>
      <c r="K153" s="131"/>
      <c r="L153" s="173"/>
    </row>
    <row r="154" ht="45" customHeight="1" spans="1:12">
      <c r="A154" s="174" t="s">
        <v>1138</v>
      </c>
      <c r="B154" s="102" t="s">
        <v>49</v>
      </c>
      <c r="C154" s="101" t="s">
        <v>1847</v>
      </c>
      <c r="D154" s="87" t="s">
        <v>1848</v>
      </c>
      <c r="E154" s="102" t="s">
        <v>132</v>
      </c>
      <c r="F154" s="74">
        <v>0</v>
      </c>
      <c r="G154" s="72" t="s">
        <v>65</v>
      </c>
      <c r="H154" s="136">
        <v>700</v>
      </c>
      <c r="I154" s="72"/>
      <c r="J154" s="102"/>
      <c r="K154" s="178"/>
      <c r="L154" s="173"/>
    </row>
    <row r="155" ht="45" customHeight="1" spans="1:12">
      <c r="A155" s="174" t="s">
        <v>1138</v>
      </c>
      <c r="B155" s="102" t="s">
        <v>49</v>
      </c>
      <c r="C155" s="101" t="s">
        <v>1849</v>
      </c>
      <c r="D155" s="87" t="s">
        <v>1850</v>
      </c>
      <c r="E155" s="102" t="s">
        <v>132</v>
      </c>
      <c r="F155" s="74">
        <v>0</v>
      </c>
      <c r="G155" s="72" t="s">
        <v>65</v>
      </c>
      <c r="H155" s="136">
        <v>700</v>
      </c>
      <c r="I155" s="72"/>
      <c r="J155" s="102"/>
      <c r="K155" s="131"/>
      <c r="L155" s="173"/>
    </row>
    <row r="156" ht="45" customHeight="1" spans="1:12">
      <c r="A156" s="174" t="s">
        <v>1138</v>
      </c>
      <c r="B156" s="102" t="s">
        <v>49</v>
      </c>
      <c r="C156" s="101" t="s">
        <v>1851</v>
      </c>
      <c r="D156" s="87" t="s">
        <v>1852</v>
      </c>
      <c r="E156" s="102" t="s">
        <v>132</v>
      </c>
      <c r="F156" s="74">
        <v>0</v>
      </c>
      <c r="G156" s="72" t="s">
        <v>65</v>
      </c>
      <c r="H156" s="136">
        <v>980</v>
      </c>
      <c r="I156" s="72"/>
      <c r="J156" s="102"/>
      <c r="K156" s="131"/>
      <c r="L156" s="173"/>
    </row>
    <row r="157" ht="45" customHeight="1" spans="1:12">
      <c r="A157" s="174" t="s">
        <v>1138</v>
      </c>
      <c r="B157" s="102" t="s">
        <v>49</v>
      </c>
      <c r="C157" s="101" t="s">
        <v>1853</v>
      </c>
      <c r="D157" s="87" t="s">
        <v>1854</v>
      </c>
      <c r="E157" s="102" t="s">
        <v>132</v>
      </c>
      <c r="F157" s="74">
        <v>0</v>
      </c>
      <c r="G157" s="72" t="s">
        <v>65</v>
      </c>
      <c r="H157" s="136">
        <v>1386</v>
      </c>
      <c r="I157" s="72"/>
      <c r="J157" s="102"/>
      <c r="K157" s="131"/>
      <c r="L157" s="173"/>
    </row>
    <row r="158" ht="45" customHeight="1" spans="1:12">
      <c r="A158" s="174" t="s">
        <v>1138</v>
      </c>
      <c r="B158" s="102" t="s">
        <v>49</v>
      </c>
      <c r="C158" s="101" t="s">
        <v>1855</v>
      </c>
      <c r="D158" s="87" t="s">
        <v>1856</v>
      </c>
      <c r="E158" s="102" t="s">
        <v>132</v>
      </c>
      <c r="F158" s="74">
        <v>0</v>
      </c>
      <c r="G158" s="72" t="s">
        <v>65</v>
      </c>
      <c r="H158" s="136">
        <v>2481</v>
      </c>
      <c r="I158" s="72"/>
      <c r="J158" s="102"/>
      <c r="K158" s="163"/>
    </row>
    <row r="159" ht="45" customHeight="1" spans="1:12">
      <c r="A159" s="174" t="s">
        <v>1138</v>
      </c>
      <c r="B159" s="102" t="s">
        <v>49</v>
      </c>
      <c r="C159" s="101" t="s">
        <v>1857</v>
      </c>
      <c r="D159" s="87" t="s">
        <v>1858</v>
      </c>
      <c r="E159" s="102" t="s">
        <v>132</v>
      </c>
      <c r="F159" s="74">
        <v>0</v>
      </c>
      <c r="G159" s="72" t="s">
        <v>65</v>
      </c>
      <c r="H159" s="136">
        <v>2646</v>
      </c>
      <c r="I159" s="72"/>
      <c r="J159" s="102"/>
      <c r="K159" s="131"/>
    </row>
    <row r="160" ht="45" customHeight="1" spans="1:12">
      <c r="A160" s="174" t="s">
        <v>1138</v>
      </c>
      <c r="B160" s="102" t="s">
        <v>49</v>
      </c>
      <c r="C160" s="101" t="s">
        <v>1859</v>
      </c>
      <c r="D160" s="87" t="s">
        <v>1860</v>
      </c>
      <c r="E160" s="102" t="s">
        <v>132</v>
      </c>
      <c r="F160" s="74">
        <v>0</v>
      </c>
      <c r="G160" s="72" t="s">
        <v>65</v>
      </c>
      <c r="H160" s="136">
        <v>2506</v>
      </c>
      <c r="I160" s="72"/>
      <c r="J160" s="102"/>
      <c r="K160" s="131"/>
      <c r="L160" s="173"/>
    </row>
    <row r="161" ht="45" customHeight="1" spans="1:12">
      <c r="A161" s="174" t="s">
        <v>1138</v>
      </c>
      <c r="B161" s="102" t="s">
        <v>49</v>
      </c>
      <c r="C161" s="101" t="s">
        <v>1861</v>
      </c>
      <c r="D161" s="87" t="s">
        <v>1862</v>
      </c>
      <c r="E161" s="102" t="s">
        <v>132</v>
      </c>
      <c r="F161" s="74">
        <v>0</v>
      </c>
      <c r="G161" s="72" t="s">
        <v>65</v>
      </c>
      <c r="H161" s="136">
        <v>1344</v>
      </c>
      <c r="I161" s="72"/>
      <c r="J161" s="102"/>
      <c r="K161" s="131"/>
      <c r="L161" s="173"/>
    </row>
    <row r="162" ht="45" customHeight="1" spans="1:12">
      <c r="A162" s="174" t="s">
        <v>1138</v>
      </c>
      <c r="B162" s="102" t="s">
        <v>49</v>
      </c>
      <c r="C162" s="101" t="s">
        <v>1863</v>
      </c>
      <c r="D162" s="87" t="s">
        <v>1864</v>
      </c>
      <c r="E162" s="102" t="s">
        <v>132</v>
      </c>
      <c r="F162" s="74">
        <v>0</v>
      </c>
      <c r="G162" s="72" t="s">
        <v>65</v>
      </c>
      <c r="H162" s="136">
        <v>1736</v>
      </c>
      <c r="I162" s="72"/>
      <c r="J162" s="177"/>
      <c r="K162" s="131"/>
      <c r="L162" s="173"/>
    </row>
    <row r="163" ht="45" customHeight="1" spans="1:12">
      <c r="A163" s="174" t="s">
        <v>1138</v>
      </c>
      <c r="B163" s="102" t="s">
        <v>49</v>
      </c>
      <c r="C163" s="101" t="s">
        <v>1865</v>
      </c>
      <c r="D163" s="87" t="s">
        <v>1866</v>
      </c>
      <c r="E163" s="102" t="s">
        <v>132</v>
      </c>
      <c r="F163" s="74">
        <v>0</v>
      </c>
      <c r="G163" s="72" t="s">
        <v>65</v>
      </c>
      <c r="H163" s="136">
        <v>2786</v>
      </c>
      <c r="I163" s="72"/>
      <c r="J163" s="177"/>
      <c r="K163" s="131"/>
      <c r="L163" s="173"/>
    </row>
    <row r="164" ht="45" customHeight="1" spans="1:12">
      <c r="A164" s="174" t="s">
        <v>1138</v>
      </c>
      <c r="B164" s="102" t="s">
        <v>49</v>
      </c>
      <c r="C164" s="101" t="s">
        <v>1867</v>
      </c>
      <c r="D164" s="87" t="s">
        <v>1868</v>
      </c>
      <c r="E164" s="102" t="s">
        <v>132</v>
      </c>
      <c r="F164" s="74">
        <v>0</v>
      </c>
      <c r="G164" s="72" t="s">
        <v>65</v>
      </c>
      <c r="H164" s="136">
        <v>1403</v>
      </c>
      <c r="I164" s="72"/>
      <c r="J164" s="177" t="s">
        <v>285</v>
      </c>
      <c r="K164" s="131"/>
      <c r="L164" s="173"/>
    </row>
    <row r="165" ht="45" customHeight="1" spans="1:12">
      <c r="A165" s="174" t="s">
        <v>1138</v>
      </c>
      <c r="B165" s="102" t="s">
        <v>49</v>
      </c>
      <c r="C165" s="101" t="s">
        <v>1869</v>
      </c>
      <c r="D165" s="87" t="s">
        <v>1870</v>
      </c>
      <c r="E165" s="102" t="s">
        <v>132</v>
      </c>
      <c r="F165" s="74">
        <v>0</v>
      </c>
      <c r="G165" s="72" t="s">
        <v>65</v>
      </c>
      <c r="H165" s="136">
        <v>1582</v>
      </c>
      <c r="I165" s="72"/>
      <c r="J165" s="177"/>
      <c r="K165" s="131"/>
      <c r="L165" s="173"/>
    </row>
    <row r="166" ht="45" customHeight="1" spans="1:12">
      <c r="A166" s="174" t="s">
        <v>1138</v>
      </c>
      <c r="B166" s="102" t="s">
        <v>49</v>
      </c>
      <c r="C166" s="101" t="s">
        <v>1871</v>
      </c>
      <c r="D166" s="87" t="s">
        <v>1872</v>
      </c>
      <c r="E166" s="102" t="s">
        <v>132</v>
      </c>
      <c r="F166" s="74">
        <v>0</v>
      </c>
      <c r="G166" s="72" t="s">
        <v>65</v>
      </c>
      <c r="H166" s="136">
        <v>2072</v>
      </c>
      <c r="I166" s="72"/>
      <c r="J166" s="177"/>
      <c r="K166" s="131"/>
      <c r="L166" s="173"/>
    </row>
    <row r="167" ht="45" customHeight="1" spans="1:12">
      <c r="A167" s="174" t="s">
        <v>1138</v>
      </c>
      <c r="B167" s="102" t="s">
        <v>49</v>
      </c>
      <c r="C167" s="101" t="s">
        <v>1873</v>
      </c>
      <c r="D167" s="87" t="s">
        <v>1874</v>
      </c>
      <c r="E167" s="102" t="s">
        <v>132</v>
      </c>
      <c r="F167" s="74">
        <v>0</v>
      </c>
      <c r="G167" s="72" t="s">
        <v>65</v>
      </c>
      <c r="H167" s="136">
        <v>3052</v>
      </c>
      <c r="I167" s="72"/>
      <c r="J167" s="177"/>
      <c r="K167" s="131"/>
      <c r="L167" s="173"/>
    </row>
    <row r="168" ht="45" customHeight="1" spans="1:12">
      <c r="A168" s="174" t="s">
        <v>1138</v>
      </c>
      <c r="B168" s="102" t="s">
        <v>49</v>
      </c>
      <c r="C168" s="101" t="s">
        <v>1875</v>
      </c>
      <c r="D168" s="87" t="s">
        <v>1876</v>
      </c>
      <c r="E168" s="102" t="s">
        <v>132</v>
      </c>
      <c r="F168" s="74">
        <v>0</v>
      </c>
      <c r="G168" s="72" t="s">
        <v>65</v>
      </c>
      <c r="H168" s="136">
        <v>3052</v>
      </c>
      <c r="I168" s="114"/>
      <c r="J168" s="177"/>
      <c r="K168" s="131"/>
      <c r="L168" s="173"/>
    </row>
    <row r="169" ht="45" customHeight="1" spans="1:12">
      <c r="A169" s="174" t="s">
        <v>1138</v>
      </c>
      <c r="B169" s="102" t="s">
        <v>49</v>
      </c>
      <c r="C169" s="101" t="s">
        <v>1877</v>
      </c>
      <c r="D169" s="87" t="s">
        <v>1878</v>
      </c>
      <c r="E169" s="102" t="s">
        <v>132</v>
      </c>
      <c r="F169" s="74">
        <v>0</v>
      </c>
      <c r="G169" s="72" t="s">
        <v>65</v>
      </c>
      <c r="H169" s="136">
        <v>2688</v>
      </c>
      <c r="I169" s="114"/>
      <c r="J169" s="177"/>
      <c r="K169" s="131"/>
      <c r="L169" s="173"/>
    </row>
    <row r="170" ht="45" customHeight="1" spans="1:12">
      <c r="A170" s="174" t="s">
        <v>1138</v>
      </c>
      <c r="B170" s="102" t="s">
        <v>49</v>
      </c>
      <c r="C170" s="101" t="s">
        <v>1879</v>
      </c>
      <c r="D170" s="87" t="s">
        <v>1880</v>
      </c>
      <c r="E170" s="102" t="s">
        <v>132</v>
      </c>
      <c r="F170" s="74">
        <v>0</v>
      </c>
      <c r="G170" s="72" t="s">
        <v>65</v>
      </c>
      <c r="H170" s="136">
        <v>2688</v>
      </c>
      <c r="I170" s="114"/>
      <c r="J170" s="177"/>
      <c r="K170" s="131"/>
      <c r="L170" s="173"/>
    </row>
    <row r="171" ht="45" customHeight="1" spans="1:12">
      <c r="A171" s="174" t="s">
        <v>1138</v>
      </c>
      <c r="B171" s="102" t="s">
        <v>49</v>
      </c>
      <c r="C171" s="101" t="s">
        <v>1881</v>
      </c>
      <c r="D171" s="87" t="s">
        <v>1882</v>
      </c>
      <c r="E171" s="102" t="s">
        <v>132</v>
      </c>
      <c r="F171" s="74">
        <v>0</v>
      </c>
      <c r="G171" s="72" t="s">
        <v>65</v>
      </c>
      <c r="H171" s="136">
        <v>2688</v>
      </c>
      <c r="I171" s="114"/>
      <c r="J171" s="177"/>
      <c r="K171" s="187"/>
      <c r="L171" s="173"/>
    </row>
    <row r="172" ht="60" customHeight="1" spans="1:12">
      <c r="A172" s="174" t="s">
        <v>1138</v>
      </c>
      <c r="B172" s="102" t="s">
        <v>49</v>
      </c>
      <c r="C172" s="101" t="s">
        <v>1883</v>
      </c>
      <c r="D172" s="87" t="s">
        <v>1884</v>
      </c>
      <c r="E172" s="102" t="s">
        <v>132</v>
      </c>
      <c r="F172" s="74">
        <v>0</v>
      </c>
      <c r="G172" s="72" t="s">
        <v>65</v>
      </c>
      <c r="H172" s="136">
        <v>658</v>
      </c>
      <c r="I172" s="72"/>
      <c r="J172" s="177"/>
      <c r="K172" s="131"/>
      <c r="L172" s="173"/>
    </row>
    <row r="173" ht="45" customHeight="1" spans="1:12">
      <c r="A173" s="174" t="s">
        <v>1138</v>
      </c>
      <c r="B173" s="102" t="s">
        <v>49</v>
      </c>
      <c r="C173" s="101" t="s">
        <v>1885</v>
      </c>
      <c r="D173" s="87" t="s">
        <v>1886</v>
      </c>
      <c r="E173" s="102" t="s">
        <v>132</v>
      </c>
      <c r="F173" s="74">
        <v>0</v>
      </c>
      <c r="G173" s="72" t="s">
        <v>65</v>
      </c>
      <c r="H173" s="136">
        <v>658</v>
      </c>
      <c r="I173" s="72"/>
      <c r="J173" s="102"/>
      <c r="K173" s="131"/>
      <c r="L173" s="173"/>
    </row>
    <row r="174" ht="39" customHeight="1" spans="1:12">
      <c r="A174" s="174" t="s">
        <v>1138</v>
      </c>
      <c r="B174" s="102" t="s">
        <v>49</v>
      </c>
      <c r="C174" s="101" t="s">
        <v>1887</v>
      </c>
      <c r="D174" s="87" t="s">
        <v>1888</v>
      </c>
      <c r="E174" s="102" t="s">
        <v>132</v>
      </c>
      <c r="F174" s="74">
        <v>0</v>
      </c>
      <c r="G174" s="72" t="s">
        <v>65</v>
      </c>
      <c r="H174" s="136">
        <v>2534</v>
      </c>
      <c r="I174" s="72"/>
      <c r="J174" s="104"/>
      <c r="K174" s="131"/>
      <c r="L174" s="173"/>
    </row>
    <row r="175" ht="45" customHeight="1" spans="1:12">
      <c r="A175" s="174" t="s">
        <v>1138</v>
      </c>
      <c r="B175" s="102" t="s">
        <v>49</v>
      </c>
      <c r="C175" s="101" t="s">
        <v>1889</v>
      </c>
      <c r="D175" s="87" t="s">
        <v>1890</v>
      </c>
      <c r="E175" s="102" t="s">
        <v>132</v>
      </c>
      <c r="F175" s="74">
        <v>0</v>
      </c>
      <c r="G175" s="72" t="s">
        <v>65</v>
      </c>
      <c r="H175" s="136">
        <v>2534</v>
      </c>
      <c r="I175" s="72"/>
      <c r="J175" s="102"/>
      <c r="K175" s="131"/>
      <c r="L175" s="173"/>
    </row>
    <row r="176" ht="45" customHeight="1" spans="1:12">
      <c r="A176" s="174" t="s">
        <v>1138</v>
      </c>
      <c r="B176" s="102" t="s">
        <v>49</v>
      </c>
      <c r="C176" s="101" t="s">
        <v>1891</v>
      </c>
      <c r="D176" s="87" t="s">
        <v>1892</v>
      </c>
      <c r="E176" s="102" t="s">
        <v>132</v>
      </c>
      <c r="F176" s="74">
        <v>0</v>
      </c>
      <c r="G176" s="72" t="s">
        <v>65</v>
      </c>
      <c r="H176" s="136">
        <v>1064</v>
      </c>
      <c r="I176" s="72"/>
      <c r="J176" s="102"/>
      <c r="K176" s="131"/>
      <c r="L176" s="173"/>
    </row>
    <row r="177" ht="45" customHeight="1" spans="1:12">
      <c r="A177" s="174" t="s">
        <v>1138</v>
      </c>
      <c r="B177" s="102" t="s">
        <v>49</v>
      </c>
      <c r="C177" s="101" t="s">
        <v>1893</v>
      </c>
      <c r="D177" s="87" t="s">
        <v>1894</v>
      </c>
      <c r="E177" s="102" t="s">
        <v>132</v>
      </c>
      <c r="F177" s="74">
        <v>0</v>
      </c>
      <c r="G177" s="72" t="s">
        <v>65</v>
      </c>
      <c r="H177" s="136">
        <v>1078</v>
      </c>
      <c r="I177" s="72"/>
      <c r="J177" s="102"/>
      <c r="K177" s="178"/>
      <c r="L177" s="173"/>
    </row>
    <row r="178" ht="45" customHeight="1" spans="1:12">
      <c r="A178" s="174" t="s">
        <v>1138</v>
      </c>
      <c r="B178" s="102" t="s">
        <v>49</v>
      </c>
      <c r="C178" s="101" t="s">
        <v>1895</v>
      </c>
      <c r="D178" s="87" t="s">
        <v>1896</v>
      </c>
      <c r="E178" s="102" t="s">
        <v>132</v>
      </c>
      <c r="F178" s="74">
        <v>0</v>
      </c>
      <c r="G178" s="72" t="s">
        <v>65</v>
      </c>
      <c r="H178" s="136">
        <v>1078</v>
      </c>
      <c r="I178" s="72"/>
      <c r="J178" s="102"/>
      <c r="K178" s="131"/>
      <c r="L178" s="173"/>
    </row>
    <row r="179" ht="45" customHeight="1" spans="1:12">
      <c r="A179" s="174" t="s">
        <v>1138</v>
      </c>
      <c r="B179" s="102" t="s">
        <v>49</v>
      </c>
      <c r="C179" s="101" t="s">
        <v>1897</v>
      </c>
      <c r="D179" s="87" t="s">
        <v>1898</v>
      </c>
      <c r="E179" s="102" t="s">
        <v>132</v>
      </c>
      <c r="F179" s="74">
        <v>0</v>
      </c>
      <c r="G179" s="72" t="s">
        <v>65</v>
      </c>
      <c r="H179" s="136">
        <v>1512</v>
      </c>
      <c r="I179" s="72"/>
      <c r="J179" s="102"/>
      <c r="K179" s="131"/>
      <c r="L179" s="173"/>
    </row>
    <row r="180" ht="45" customHeight="1" spans="1:12">
      <c r="A180" s="174" t="s">
        <v>1138</v>
      </c>
      <c r="B180" s="102" t="s">
        <v>49</v>
      </c>
      <c r="C180" s="101" t="s">
        <v>1899</v>
      </c>
      <c r="D180" s="87" t="s">
        <v>1900</v>
      </c>
      <c r="E180" s="102" t="s">
        <v>132</v>
      </c>
      <c r="F180" s="74">
        <v>0</v>
      </c>
      <c r="G180" s="72" t="s">
        <v>65</v>
      </c>
      <c r="H180" s="136">
        <v>2170</v>
      </c>
      <c r="I180" s="72"/>
      <c r="J180" s="102"/>
      <c r="K180" s="131"/>
      <c r="L180" s="173"/>
    </row>
    <row r="181" ht="45" customHeight="1" spans="1:12">
      <c r="A181" s="174" t="s">
        <v>1138</v>
      </c>
      <c r="B181" s="102" t="s">
        <v>49</v>
      </c>
      <c r="C181" s="101" t="s">
        <v>1901</v>
      </c>
      <c r="D181" s="87" t="s">
        <v>1902</v>
      </c>
      <c r="E181" s="102" t="s">
        <v>132</v>
      </c>
      <c r="F181" s="74">
        <v>0</v>
      </c>
      <c r="G181" s="72" t="s">
        <v>65</v>
      </c>
      <c r="H181" s="136">
        <v>3262</v>
      </c>
      <c r="I181" s="72"/>
      <c r="J181" s="102"/>
      <c r="K181" s="178"/>
      <c r="L181" s="173"/>
    </row>
    <row r="182" ht="45" customHeight="1" spans="1:12">
      <c r="A182" s="174" t="s">
        <v>1138</v>
      </c>
      <c r="B182" s="102" t="s">
        <v>49</v>
      </c>
      <c r="C182" s="101" t="s">
        <v>1903</v>
      </c>
      <c r="D182" s="87" t="s">
        <v>1904</v>
      </c>
      <c r="E182" s="102" t="s">
        <v>132</v>
      </c>
      <c r="F182" s="74">
        <v>0</v>
      </c>
      <c r="G182" s="72" t="s">
        <v>65</v>
      </c>
      <c r="H182" s="136">
        <v>4130</v>
      </c>
      <c r="I182" s="72"/>
      <c r="J182" s="102"/>
      <c r="K182" s="131"/>
      <c r="L182" s="173"/>
    </row>
    <row r="183" ht="44.75" customHeight="1" spans="1:12">
      <c r="A183" s="174" t="s">
        <v>1138</v>
      </c>
      <c r="B183" s="102" t="s">
        <v>49</v>
      </c>
      <c r="C183" s="101" t="s">
        <v>1905</v>
      </c>
      <c r="D183" s="87" t="s">
        <v>1906</v>
      </c>
      <c r="E183" s="102" t="s">
        <v>132</v>
      </c>
      <c r="F183" s="74">
        <v>0</v>
      </c>
      <c r="G183" s="72" t="s">
        <v>65</v>
      </c>
      <c r="H183" s="136">
        <v>3906</v>
      </c>
      <c r="I183" s="72"/>
      <c r="J183" s="102"/>
      <c r="K183" s="131"/>
      <c r="L183" s="173"/>
    </row>
    <row r="184" ht="45" customHeight="1" spans="1:12">
      <c r="A184" s="174" t="s">
        <v>1138</v>
      </c>
      <c r="B184" s="102" t="s">
        <v>49</v>
      </c>
      <c r="C184" s="101" t="s">
        <v>1907</v>
      </c>
      <c r="D184" s="87" t="s">
        <v>1908</v>
      </c>
      <c r="E184" s="102" t="s">
        <v>132</v>
      </c>
      <c r="F184" s="74">
        <v>0</v>
      </c>
      <c r="G184" s="72" t="s">
        <v>65</v>
      </c>
      <c r="H184" s="136">
        <v>2086</v>
      </c>
      <c r="I184" s="72"/>
      <c r="J184" s="102"/>
      <c r="K184" s="131"/>
      <c r="L184" s="173"/>
    </row>
    <row r="185" ht="45" customHeight="1" spans="1:12">
      <c r="A185" s="174" t="s">
        <v>1138</v>
      </c>
      <c r="B185" s="102" t="s">
        <v>49</v>
      </c>
      <c r="C185" s="101" t="s">
        <v>1909</v>
      </c>
      <c r="D185" s="87" t="s">
        <v>1910</v>
      </c>
      <c r="E185" s="102" t="s">
        <v>132</v>
      </c>
      <c r="F185" s="74">
        <v>0</v>
      </c>
      <c r="G185" s="72" t="s">
        <v>65</v>
      </c>
      <c r="H185" s="136">
        <v>2716</v>
      </c>
      <c r="I185" s="72"/>
      <c r="J185" s="177"/>
      <c r="K185" s="131"/>
      <c r="L185" s="173"/>
    </row>
    <row r="186" ht="45" customHeight="1" spans="1:12">
      <c r="A186" s="174" t="s">
        <v>1138</v>
      </c>
      <c r="B186" s="102" t="s">
        <v>49</v>
      </c>
      <c r="C186" s="101" t="s">
        <v>1911</v>
      </c>
      <c r="D186" s="87" t="s">
        <v>1912</v>
      </c>
      <c r="E186" s="102" t="s">
        <v>132</v>
      </c>
      <c r="F186" s="74">
        <v>0</v>
      </c>
      <c r="G186" s="72" t="s">
        <v>65</v>
      </c>
      <c r="H186" s="136">
        <v>4340</v>
      </c>
      <c r="I186" s="72"/>
      <c r="J186" s="177"/>
      <c r="K186" s="131"/>
      <c r="L186" s="173"/>
    </row>
    <row r="187" ht="45" customHeight="1" spans="1:12">
      <c r="A187" s="174" t="s">
        <v>1138</v>
      </c>
      <c r="B187" s="102" t="s">
        <v>49</v>
      </c>
      <c r="C187" s="101" t="s">
        <v>1913</v>
      </c>
      <c r="D187" s="87" t="s">
        <v>1914</v>
      </c>
      <c r="E187" s="102" t="s">
        <v>132</v>
      </c>
      <c r="F187" s="74">
        <v>0</v>
      </c>
      <c r="G187" s="72" t="s">
        <v>65</v>
      </c>
      <c r="H187" s="136">
        <v>2185</v>
      </c>
      <c r="I187" s="72"/>
      <c r="J187" s="177" t="s">
        <v>285</v>
      </c>
      <c r="K187" s="131"/>
      <c r="L187" s="173"/>
    </row>
    <row r="188" ht="45" customHeight="1" spans="1:12">
      <c r="A188" s="174" t="s">
        <v>1138</v>
      </c>
      <c r="B188" s="102" t="s">
        <v>49</v>
      </c>
      <c r="C188" s="101" t="s">
        <v>1915</v>
      </c>
      <c r="D188" s="87" t="s">
        <v>1916</v>
      </c>
      <c r="E188" s="102" t="s">
        <v>132</v>
      </c>
      <c r="F188" s="74">
        <v>0</v>
      </c>
      <c r="G188" s="72" t="s">
        <v>65</v>
      </c>
      <c r="H188" s="136">
        <v>2464</v>
      </c>
      <c r="I188" s="72"/>
      <c r="J188" s="177"/>
      <c r="K188" s="131"/>
      <c r="L188" s="173"/>
    </row>
    <row r="189" ht="45" customHeight="1" spans="1:12">
      <c r="A189" s="174" t="s">
        <v>1138</v>
      </c>
      <c r="B189" s="102" t="s">
        <v>49</v>
      </c>
      <c r="C189" s="101" t="s">
        <v>1917</v>
      </c>
      <c r="D189" s="87" t="s">
        <v>1918</v>
      </c>
      <c r="E189" s="102" t="s">
        <v>132</v>
      </c>
      <c r="F189" s="74">
        <v>0</v>
      </c>
      <c r="G189" s="72" t="s">
        <v>65</v>
      </c>
      <c r="H189" s="136">
        <v>3234</v>
      </c>
      <c r="I189" s="72"/>
      <c r="J189" s="177"/>
      <c r="K189" s="131"/>
      <c r="L189" s="173"/>
    </row>
    <row r="190" ht="45" customHeight="1" spans="1:12">
      <c r="A190" s="174" t="s">
        <v>1138</v>
      </c>
      <c r="B190" s="102" t="s">
        <v>49</v>
      </c>
      <c r="C190" s="101" t="s">
        <v>1919</v>
      </c>
      <c r="D190" s="87" t="s">
        <v>1920</v>
      </c>
      <c r="E190" s="102" t="s">
        <v>132</v>
      </c>
      <c r="F190" s="74">
        <v>0</v>
      </c>
      <c r="G190" s="72" t="s">
        <v>65</v>
      </c>
      <c r="H190" s="136">
        <v>4746</v>
      </c>
      <c r="I190" s="72"/>
      <c r="J190" s="177"/>
      <c r="K190" s="177"/>
      <c r="L190" s="173"/>
    </row>
    <row r="191" ht="45" customHeight="1" spans="1:12">
      <c r="A191" s="174" t="s">
        <v>1138</v>
      </c>
      <c r="B191" s="102" t="s">
        <v>49</v>
      </c>
      <c r="C191" s="101" t="s">
        <v>1921</v>
      </c>
      <c r="D191" s="87" t="s">
        <v>1922</v>
      </c>
      <c r="E191" s="102" t="s">
        <v>132</v>
      </c>
      <c r="F191" s="74">
        <v>0</v>
      </c>
      <c r="G191" s="72" t="s">
        <v>65</v>
      </c>
      <c r="H191" s="136">
        <v>4746</v>
      </c>
      <c r="I191" s="114"/>
      <c r="J191" s="177"/>
      <c r="K191" s="177"/>
      <c r="L191" s="173"/>
    </row>
    <row r="192" ht="45" customHeight="1" spans="1:12">
      <c r="A192" s="174" t="s">
        <v>1138</v>
      </c>
      <c r="B192" s="102" t="s">
        <v>49</v>
      </c>
      <c r="C192" s="101" t="s">
        <v>1923</v>
      </c>
      <c r="D192" s="87" t="s">
        <v>1924</v>
      </c>
      <c r="E192" s="102" t="s">
        <v>132</v>
      </c>
      <c r="F192" s="74">
        <v>0</v>
      </c>
      <c r="G192" s="72" t="s">
        <v>65</v>
      </c>
      <c r="H192" s="136">
        <v>4186</v>
      </c>
      <c r="I192" s="114"/>
      <c r="J192" s="177"/>
      <c r="K192" s="177"/>
      <c r="L192" s="173"/>
    </row>
    <row r="193" ht="45" customHeight="1" spans="1:12">
      <c r="A193" s="174" t="s">
        <v>1138</v>
      </c>
      <c r="B193" s="102" t="s">
        <v>49</v>
      </c>
      <c r="C193" s="101" t="s">
        <v>1925</v>
      </c>
      <c r="D193" s="87" t="s">
        <v>1926</v>
      </c>
      <c r="E193" s="102" t="s">
        <v>132</v>
      </c>
      <c r="F193" s="74">
        <v>0</v>
      </c>
      <c r="G193" s="72" t="s">
        <v>65</v>
      </c>
      <c r="H193" s="136">
        <v>4186</v>
      </c>
      <c r="I193" s="114"/>
      <c r="J193" s="177"/>
      <c r="K193" s="177"/>
      <c r="L193" s="173"/>
    </row>
    <row r="194" ht="45" customHeight="1" spans="1:12">
      <c r="A194" s="174" t="s">
        <v>1138</v>
      </c>
      <c r="B194" s="102" t="s">
        <v>49</v>
      </c>
      <c r="C194" s="101" t="s">
        <v>1927</v>
      </c>
      <c r="D194" s="87" t="s">
        <v>1928</v>
      </c>
      <c r="E194" s="102" t="s">
        <v>132</v>
      </c>
      <c r="F194" s="74">
        <v>0</v>
      </c>
      <c r="G194" s="72" t="s">
        <v>65</v>
      </c>
      <c r="H194" s="136">
        <v>4186</v>
      </c>
      <c r="I194" s="114"/>
      <c r="J194" s="177"/>
      <c r="K194" s="177"/>
      <c r="L194" s="173"/>
    </row>
    <row r="195" ht="45" customHeight="1" spans="1:12">
      <c r="A195" s="174" t="s">
        <v>1138</v>
      </c>
      <c r="B195" s="102" t="s">
        <v>49</v>
      </c>
      <c r="C195" s="101" t="s">
        <v>1929</v>
      </c>
      <c r="D195" s="87" t="s">
        <v>1930</v>
      </c>
      <c r="E195" s="102" t="s">
        <v>132</v>
      </c>
      <c r="F195" s="74">
        <v>0</v>
      </c>
      <c r="G195" s="72" t="s">
        <v>65</v>
      </c>
      <c r="H195" s="136">
        <v>8</v>
      </c>
      <c r="I195" s="72"/>
      <c r="J195" s="177"/>
      <c r="K195" s="176"/>
      <c r="L195" s="173"/>
    </row>
    <row r="196" ht="45" customHeight="1" spans="1:12">
      <c r="A196" s="174" t="s">
        <v>1138</v>
      </c>
      <c r="B196" s="102" t="s">
        <v>49</v>
      </c>
      <c r="C196" s="101" t="s">
        <v>1931</v>
      </c>
      <c r="D196" s="87" t="s">
        <v>1932</v>
      </c>
      <c r="E196" s="102" t="s">
        <v>132</v>
      </c>
      <c r="F196" s="74">
        <v>0</v>
      </c>
      <c r="G196" s="72" t="s">
        <v>65</v>
      </c>
      <c r="H196" s="136">
        <v>9</v>
      </c>
      <c r="I196" s="72"/>
      <c r="J196" s="177"/>
      <c r="K196" s="176"/>
      <c r="L196" s="173"/>
    </row>
    <row r="197" ht="45" customHeight="1" spans="1:12">
      <c r="A197" s="174" t="s">
        <v>1138</v>
      </c>
      <c r="B197" s="102" t="s">
        <v>49</v>
      </c>
      <c r="C197" s="101" t="s">
        <v>1933</v>
      </c>
      <c r="D197" s="87" t="s">
        <v>1934</v>
      </c>
      <c r="E197" s="102" t="s">
        <v>132</v>
      </c>
      <c r="F197" s="74">
        <v>0</v>
      </c>
      <c r="G197" s="72" t="s">
        <v>65</v>
      </c>
      <c r="H197" s="136">
        <v>21</v>
      </c>
      <c r="I197" s="72"/>
      <c r="J197" s="177"/>
      <c r="K197" s="176"/>
      <c r="L197" s="173"/>
    </row>
    <row r="198" ht="45" customHeight="1" spans="1:12">
      <c r="A198" s="174" t="s">
        <v>1138</v>
      </c>
      <c r="B198" s="102" t="s">
        <v>49</v>
      </c>
      <c r="C198" s="101" t="s">
        <v>1935</v>
      </c>
      <c r="D198" s="87" t="s">
        <v>1936</v>
      </c>
      <c r="E198" s="102" t="s">
        <v>132</v>
      </c>
      <c r="F198" s="175">
        <v>1</v>
      </c>
      <c r="G198" s="72" t="s">
        <v>65</v>
      </c>
      <c r="H198" s="136">
        <v>19</v>
      </c>
      <c r="I198" s="72"/>
      <c r="J198" s="177"/>
      <c r="K198" s="176"/>
      <c r="L198" s="173"/>
    </row>
    <row r="199" ht="45" customHeight="1" spans="1:12">
      <c r="A199" s="174" t="s">
        <v>1138</v>
      </c>
      <c r="B199" s="102" t="s">
        <v>49</v>
      </c>
      <c r="C199" s="101" t="s">
        <v>1937</v>
      </c>
      <c r="D199" s="87" t="s">
        <v>1938</v>
      </c>
      <c r="E199" s="102" t="s">
        <v>132</v>
      </c>
      <c r="F199" s="175">
        <v>1</v>
      </c>
      <c r="G199" s="175" t="s">
        <v>65</v>
      </c>
      <c r="H199" s="136">
        <v>33</v>
      </c>
      <c r="I199" s="72"/>
      <c r="J199" s="177"/>
      <c r="K199" s="176"/>
      <c r="L199" s="173"/>
    </row>
    <row r="200" ht="45" customHeight="1" spans="1:12">
      <c r="A200" s="174" t="s">
        <v>1138</v>
      </c>
      <c r="B200" s="102" t="s">
        <v>49</v>
      </c>
      <c r="C200" s="101" t="s">
        <v>1939</v>
      </c>
      <c r="D200" s="87" t="s">
        <v>1940</v>
      </c>
      <c r="E200" s="102" t="s">
        <v>132</v>
      </c>
      <c r="F200" s="175">
        <v>1</v>
      </c>
      <c r="G200" s="175" t="s">
        <v>65</v>
      </c>
      <c r="H200" s="136">
        <v>33</v>
      </c>
      <c r="I200" s="72"/>
      <c r="J200" s="177"/>
      <c r="K200" s="176"/>
      <c r="L200" s="173"/>
    </row>
    <row r="201" ht="45" customHeight="1" spans="1:12">
      <c r="A201" s="174" t="s">
        <v>1138</v>
      </c>
      <c r="B201" s="102" t="s">
        <v>49</v>
      </c>
      <c r="C201" s="101" t="s">
        <v>1941</v>
      </c>
      <c r="D201" s="87" t="s">
        <v>1942</v>
      </c>
      <c r="E201" s="102" t="s">
        <v>132</v>
      </c>
      <c r="F201" s="175">
        <v>1</v>
      </c>
      <c r="G201" s="175" t="s">
        <v>65</v>
      </c>
      <c r="H201" s="136">
        <v>30</v>
      </c>
      <c r="I201" s="72"/>
      <c r="J201" s="177"/>
      <c r="K201" s="176"/>
      <c r="L201" s="173"/>
    </row>
    <row r="202" ht="45" customHeight="1" spans="1:12">
      <c r="A202" s="174" t="s">
        <v>1138</v>
      </c>
      <c r="B202" s="102" t="s">
        <v>49</v>
      </c>
      <c r="C202" s="101" t="s">
        <v>1943</v>
      </c>
      <c r="D202" s="87" t="s">
        <v>1944</v>
      </c>
      <c r="E202" s="102" t="s">
        <v>132</v>
      </c>
      <c r="F202" s="175">
        <v>1</v>
      </c>
      <c r="G202" s="175" t="s">
        <v>65</v>
      </c>
      <c r="H202" s="136">
        <v>14</v>
      </c>
      <c r="I202" s="72"/>
      <c r="J202" s="177"/>
      <c r="K202" s="176"/>
      <c r="L202" s="173"/>
    </row>
    <row r="203" ht="45" customHeight="1" spans="1:12">
      <c r="A203" s="174" t="s">
        <v>1138</v>
      </c>
      <c r="B203" s="102" t="s">
        <v>49</v>
      </c>
      <c r="C203" s="101" t="s">
        <v>1945</v>
      </c>
      <c r="D203" s="87" t="s">
        <v>1946</v>
      </c>
      <c r="E203" s="102" t="s">
        <v>132</v>
      </c>
      <c r="F203" s="175">
        <v>1</v>
      </c>
      <c r="G203" s="175" t="s">
        <v>65</v>
      </c>
      <c r="H203" s="136">
        <v>13</v>
      </c>
      <c r="I203" s="72"/>
      <c r="J203" s="177"/>
      <c r="K203" s="176"/>
      <c r="L203" s="173"/>
    </row>
    <row r="204" ht="45" customHeight="1" spans="1:12">
      <c r="A204" s="174" t="s">
        <v>1138</v>
      </c>
      <c r="B204" s="102" t="s">
        <v>49</v>
      </c>
      <c r="C204" s="101" t="s">
        <v>1947</v>
      </c>
      <c r="D204" s="87" t="s">
        <v>1948</v>
      </c>
      <c r="E204" s="102" t="s">
        <v>132</v>
      </c>
      <c r="F204" s="175">
        <v>1</v>
      </c>
      <c r="G204" s="175" t="s">
        <v>65</v>
      </c>
      <c r="H204" s="136">
        <v>13</v>
      </c>
      <c r="I204" s="72"/>
      <c r="J204" s="177"/>
      <c r="K204" s="176"/>
      <c r="L204" s="173"/>
    </row>
    <row r="205" ht="45" customHeight="1" spans="1:12">
      <c r="A205" s="174" t="s">
        <v>1138</v>
      </c>
      <c r="B205" s="102" t="s">
        <v>49</v>
      </c>
      <c r="C205" s="101" t="s">
        <v>1949</v>
      </c>
      <c r="D205" s="87" t="s">
        <v>1950</v>
      </c>
      <c r="E205" s="102" t="s">
        <v>132</v>
      </c>
      <c r="F205" s="175">
        <v>1</v>
      </c>
      <c r="G205" s="175" t="s">
        <v>65</v>
      </c>
      <c r="H205" s="136">
        <v>19</v>
      </c>
      <c r="I205" s="72"/>
      <c r="J205" s="177"/>
      <c r="K205" s="176"/>
      <c r="L205" s="173"/>
    </row>
    <row r="206" ht="45" customHeight="1" spans="1:12">
      <c r="A206" s="174" t="s">
        <v>1138</v>
      </c>
      <c r="B206" s="102" t="s">
        <v>49</v>
      </c>
      <c r="C206" s="101" t="s">
        <v>1951</v>
      </c>
      <c r="D206" s="87" t="s">
        <v>1952</v>
      </c>
      <c r="E206" s="102" t="s">
        <v>132</v>
      </c>
      <c r="F206" s="175">
        <v>1</v>
      </c>
      <c r="G206" s="175" t="s">
        <v>65</v>
      </c>
      <c r="H206" s="136">
        <v>27</v>
      </c>
      <c r="I206" s="72"/>
      <c r="J206" s="177"/>
      <c r="K206" s="176"/>
      <c r="L206" s="173"/>
    </row>
    <row r="207" ht="45" customHeight="1" spans="1:12">
      <c r="A207" s="174" t="s">
        <v>1138</v>
      </c>
      <c r="B207" s="102" t="s">
        <v>49</v>
      </c>
      <c r="C207" s="101" t="s">
        <v>1953</v>
      </c>
      <c r="D207" s="87" t="s">
        <v>1954</v>
      </c>
      <c r="E207" s="102" t="s">
        <v>132</v>
      </c>
      <c r="F207" s="175">
        <v>1</v>
      </c>
      <c r="G207" s="175" t="s">
        <v>65</v>
      </c>
      <c r="H207" s="136">
        <v>40</v>
      </c>
      <c r="I207" s="72"/>
      <c r="J207" s="177"/>
      <c r="K207" s="176"/>
      <c r="L207" s="173"/>
    </row>
    <row r="208" ht="45" customHeight="1" spans="1:12">
      <c r="A208" s="174" t="s">
        <v>1138</v>
      </c>
      <c r="B208" s="102" t="s">
        <v>49</v>
      </c>
      <c r="C208" s="101" t="s">
        <v>1955</v>
      </c>
      <c r="D208" s="87" t="s">
        <v>1956</v>
      </c>
      <c r="E208" s="102" t="s">
        <v>132</v>
      </c>
      <c r="F208" s="175">
        <v>1</v>
      </c>
      <c r="G208" s="175" t="s">
        <v>65</v>
      </c>
      <c r="H208" s="136">
        <v>51</v>
      </c>
      <c r="I208" s="72"/>
      <c r="J208" s="177"/>
      <c r="K208" s="176"/>
      <c r="L208" s="173"/>
    </row>
    <row r="209" ht="45" customHeight="1" spans="1:12">
      <c r="A209" s="174" t="s">
        <v>1138</v>
      </c>
      <c r="B209" s="102" t="s">
        <v>49</v>
      </c>
      <c r="C209" s="101" t="s">
        <v>1957</v>
      </c>
      <c r="D209" s="87" t="s">
        <v>1958</v>
      </c>
      <c r="E209" s="102" t="s">
        <v>132</v>
      </c>
      <c r="F209" s="175">
        <v>1</v>
      </c>
      <c r="G209" s="175" t="s">
        <v>65</v>
      </c>
      <c r="H209" s="136">
        <v>48</v>
      </c>
      <c r="I209" s="72"/>
      <c r="J209" s="177"/>
      <c r="K209" s="176"/>
      <c r="L209" s="173"/>
    </row>
    <row r="210" ht="45" customHeight="1" spans="1:12">
      <c r="A210" s="174" t="s">
        <v>1138</v>
      </c>
      <c r="B210" s="102" t="s">
        <v>49</v>
      </c>
      <c r="C210" s="101" t="s">
        <v>1959</v>
      </c>
      <c r="D210" s="87" t="s">
        <v>1960</v>
      </c>
      <c r="E210" s="102" t="s">
        <v>132</v>
      </c>
      <c r="F210" s="175">
        <v>1</v>
      </c>
      <c r="G210" s="175" t="s">
        <v>65</v>
      </c>
      <c r="H210" s="136">
        <v>26</v>
      </c>
      <c r="I210" s="72"/>
      <c r="J210" s="177"/>
      <c r="K210" s="176"/>
      <c r="L210" s="173"/>
    </row>
    <row r="211" ht="45" customHeight="1" spans="1:12">
      <c r="A211" s="174" t="s">
        <v>1138</v>
      </c>
      <c r="B211" s="102" t="s">
        <v>49</v>
      </c>
      <c r="C211" s="101" t="s">
        <v>1961</v>
      </c>
      <c r="D211" s="87" t="s">
        <v>1962</v>
      </c>
      <c r="E211" s="102" t="s">
        <v>132</v>
      </c>
      <c r="F211" s="175">
        <v>1</v>
      </c>
      <c r="G211" s="175" t="s">
        <v>65</v>
      </c>
      <c r="H211" s="136">
        <v>33</v>
      </c>
      <c r="I211" s="72"/>
      <c r="J211" s="177"/>
      <c r="K211" s="176"/>
      <c r="L211" s="173"/>
    </row>
    <row r="212" ht="45" customHeight="1" spans="1:12">
      <c r="A212" s="174" t="s">
        <v>1138</v>
      </c>
      <c r="B212" s="102" t="s">
        <v>49</v>
      </c>
      <c r="C212" s="101" t="s">
        <v>1963</v>
      </c>
      <c r="D212" s="87" t="s">
        <v>1964</v>
      </c>
      <c r="E212" s="102" t="s">
        <v>132</v>
      </c>
      <c r="F212" s="175">
        <v>1</v>
      </c>
      <c r="G212" s="175" t="s">
        <v>65</v>
      </c>
      <c r="H212" s="136">
        <v>53</v>
      </c>
      <c r="I212" s="72"/>
      <c r="J212" s="177"/>
      <c r="K212" s="176"/>
      <c r="L212" s="173"/>
    </row>
    <row r="213" ht="45" customHeight="1" spans="1:12">
      <c r="A213" s="174" t="s">
        <v>1138</v>
      </c>
      <c r="B213" s="102" t="s">
        <v>49</v>
      </c>
      <c r="C213" s="101" t="s">
        <v>1965</v>
      </c>
      <c r="D213" s="87" t="s">
        <v>1966</v>
      </c>
      <c r="E213" s="102" t="s">
        <v>132</v>
      </c>
      <c r="F213" s="128">
        <v>1</v>
      </c>
      <c r="G213" s="175" t="s">
        <v>65</v>
      </c>
      <c r="H213" s="136">
        <v>26.68</v>
      </c>
      <c r="I213" s="72"/>
      <c r="J213" s="177" t="s">
        <v>285</v>
      </c>
      <c r="K213" s="162"/>
      <c r="L213" s="173"/>
    </row>
    <row r="214" ht="45" customHeight="1" spans="1:12">
      <c r="A214" s="174" t="s">
        <v>1138</v>
      </c>
      <c r="B214" s="102" t="s">
        <v>49</v>
      </c>
      <c r="C214" s="101" t="s">
        <v>1967</v>
      </c>
      <c r="D214" s="87" t="s">
        <v>1968</v>
      </c>
      <c r="E214" s="102" t="s">
        <v>132</v>
      </c>
      <c r="F214" s="128">
        <v>1</v>
      </c>
      <c r="G214" s="175" t="s">
        <v>65</v>
      </c>
      <c r="H214" s="136">
        <v>30</v>
      </c>
      <c r="I214" s="72"/>
      <c r="J214" s="177"/>
      <c r="K214" s="162"/>
      <c r="L214" s="173"/>
    </row>
    <row r="215" ht="45" customHeight="1" spans="1:12">
      <c r="A215" s="174" t="s">
        <v>1138</v>
      </c>
      <c r="B215" s="102" t="s">
        <v>49</v>
      </c>
      <c r="C215" s="101" t="s">
        <v>1969</v>
      </c>
      <c r="D215" s="87" t="s">
        <v>1970</v>
      </c>
      <c r="E215" s="102" t="s">
        <v>132</v>
      </c>
      <c r="F215" s="128">
        <v>1</v>
      </c>
      <c r="G215" s="175" t="s">
        <v>65</v>
      </c>
      <c r="H215" s="136">
        <v>39</v>
      </c>
      <c r="I215" s="72"/>
      <c r="J215" s="177"/>
      <c r="K215" s="162"/>
      <c r="L215" s="173"/>
    </row>
    <row r="216" ht="45" customHeight="1" spans="1:12">
      <c r="A216" s="174" t="s">
        <v>1138</v>
      </c>
      <c r="B216" s="102" t="s">
        <v>49</v>
      </c>
      <c r="C216" s="101" t="s">
        <v>1971</v>
      </c>
      <c r="D216" s="87" t="s">
        <v>1972</v>
      </c>
      <c r="E216" s="102" t="s">
        <v>132</v>
      </c>
      <c r="F216" s="128">
        <v>0</v>
      </c>
      <c r="G216" s="175" t="s">
        <v>65</v>
      </c>
      <c r="H216" s="136">
        <v>56</v>
      </c>
      <c r="I216" s="72"/>
      <c r="J216" s="177"/>
      <c r="K216" s="162"/>
      <c r="L216" s="173"/>
    </row>
    <row r="217" ht="45" customHeight="1" spans="1:12">
      <c r="A217" s="174" t="s">
        <v>1138</v>
      </c>
      <c r="B217" s="102" t="s">
        <v>49</v>
      </c>
      <c r="C217" s="101" t="s">
        <v>1973</v>
      </c>
      <c r="D217" s="87" t="s">
        <v>1974</v>
      </c>
      <c r="E217" s="102" t="s">
        <v>132</v>
      </c>
      <c r="F217" s="128">
        <v>0</v>
      </c>
      <c r="G217" s="175" t="s">
        <v>65</v>
      </c>
      <c r="H217" s="136">
        <v>56</v>
      </c>
      <c r="I217" s="114"/>
      <c r="J217" s="177"/>
      <c r="K217" s="162"/>
      <c r="L217" s="173"/>
    </row>
    <row r="218" ht="27.5" customHeight="1" spans="1:12">
      <c r="A218" s="174" t="s">
        <v>1138</v>
      </c>
      <c r="B218" s="102" t="s">
        <v>49</v>
      </c>
      <c r="C218" s="101" t="s">
        <v>1975</v>
      </c>
      <c r="D218" s="87" t="s">
        <v>1976</v>
      </c>
      <c r="E218" s="102" t="s">
        <v>132</v>
      </c>
      <c r="F218" s="128">
        <v>0</v>
      </c>
      <c r="G218" s="175" t="s">
        <v>65</v>
      </c>
      <c r="H218" s="136">
        <v>56</v>
      </c>
      <c r="I218" s="114"/>
      <c r="J218" s="177"/>
      <c r="K218" s="162"/>
      <c r="L218" s="173"/>
    </row>
    <row r="219" ht="45" customHeight="1" spans="1:12">
      <c r="A219" s="174" t="s">
        <v>1138</v>
      </c>
      <c r="B219" s="102" t="s">
        <v>49</v>
      </c>
      <c r="C219" s="101" t="s">
        <v>1977</v>
      </c>
      <c r="D219" s="87" t="s">
        <v>1978</v>
      </c>
      <c r="E219" s="102" t="s">
        <v>132</v>
      </c>
      <c r="F219" s="128">
        <v>0</v>
      </c>
      <c r="G219" s="175" t="s">
        <v>65</v>
      </c>
      <c r="H219" s="136">
        <v>56</v>
      </c>
      <c r="I219" s="114"/>
      <c r="J219" s="177"/>
      <c r="K219" s="162"/>
      <c r="L219" s="173"/>
    </row>
    <row r="220" ht="45" customHeight="1" spans="1:12">
      <c r="A220" s="174" t="s">
        <v>1138</v>
      </c>
      <c r="B220" s="102" t="s">
        <v>49</v>
      </c>
      <c r="C220" s="101" t="s">
        <v>1979</v>
      </c>
      <c r="D220" s="87" t="s">
        <v>1980</v>
      </c>
      <c r="E220" s="102" t="s">
        <v>132</v>
      </c>
      <c r="F220" s="128">
        <v>0</v>
      </c>
      <c r="G220" s="175" t="s">
        <v>65</v>
      </c>
      <c r="H220" s="136">
        <v>56</v>
      </c>
      <c r="I220" s="114"/>
      <c r="J220" s="177"/>
      <c r="K220" s="162"/>
      <c r="L220" s="173"/>
    </row>
    <row r="221" ht="45" customHeight="1" spans="1:12">
      <c r="A221" s="174" t="s">
        <v>1138</v>
      </c>
      <c r="B221" s="102" t="s">
        <v>49</v>
      </c>
      <c r="C221" s="101" t="s">
        <v>1981</v>
      </c>
      <c r="D221" s="87" t="s">
        <v>1982</v>
      </c>
      <c r="E221" s="102" t="s">
        <v>132</v>
      </c>
      <c r="F221" s="128">
        <v>0</v>
      </c>
      <c r="G221" s="175" t="s">
        <v>65</v>
      </c>
      <c r="H221" s="136">
        <v>98</v>
      </c>
      <c r="I221" s="72"/>
      <c r="J221" s="177"/>
      <c r="K221" s="162"/>
      <c r="L221" s="173"/>
    </row>
    <row r="222" ht="45" customHeight="1" spans="1:12">
      <c r="A222" s="174" t="s">
        <v>1138</v>
      </c>
      <c r="B222" s="102" t="s">
        <v>49</v>
      </c>
      <c r="C222" s="101" t="s">
        <v>1983</v>
      </c>
      <c r="D222" s="87" t="s">
        <v>1984</v>
      </c>
      <c r="E222" s="102" t="s">
        <v>132</v>
      </c>
      <c r="F222" s="128">
        <v>0</v>
      </c>
      <c r="G222" s="175" t="s">
        <v>65</v>
      </c>
      <c r="H222" s="136">
        <v>98</v>
      </c>
      <c r="I222" s="72"/>
      <c r="J222" s="178"/>
      <c r="K222" s="131"/>
      <c r="L222" s="173"/>
    </row>
    <row r="223" ht="45" customHeight="1" spans="1:12">
      <c r="A223" s="174" t="s">
        <v>1138</v>
      </c>
      <c r="B223" s="102" t="s">
        <v>49</v>
      </c>
      <c r="C223" s="101" t="s">
        <v>1985</v>
      </c>
      <c r="D223" s="87" t="s">
        <v>1986</v>
      </c>
      <c r="E223" s="102" t="s">
        <v>132</v>
      </c>
      <c r="F223" s="128">
        <v>0</v>
      </c>
      <c r="G223" s="175" t="s">
        <v>65</v>
      </c>
      <c r="H223" s="136">
        <v>98</v>
      </c>
      <c r="I223" s="72"/>
      <c r="J223" s="178"/>
      <c r="K223" s="131"/>
      <c r="L223" s="173"/>
    </row>
    <row r="224" ht="45" customHeight="1" spans="1:12">
      <c r="A224" s="174" t="s">
        <v>1138</v>
      </c>
      <c r="B224" s="102" t="s">
        <v>49</v>
      </c>
      <c r="C224" s="101" t="s">
        <v>1987</v>
      </c>
      <c r="D224" s="87" t="s">
        <v>1988</v>
      </c>
      <c r="E224" s="102" t="s">
        <v>132</v>
      </c>
      <c r="F224" s="128">
        <v>0</v>
      </c>
      <c r="G224" s="128" t="s">
        <v>65</v>
      </c>
      <c r="H224" s="136">
        <v>252</v>
      </c>
      <c r="I224" s="72"/>
      <c r="J224" s="178"/>
      <c r="K224" s="131"/>
      <c r="L224" s="173"/>
    </row>
    <row r="225" ht="45" customHeight="1" spans="1:12">
      <c r="A225" s="174" t="s">
        <v>1138</v>
      </c>
      <c r="B225" s="102" t="s">
        <v>49</v>
      </c>
      <c r="C225" s="101" t="s">
        <v>1989</v>
      </c>
      <c r="D225" s="87" t="s">
        <v>1990</v>
      </c>
      <c r="E225" s="102" t="s">
        <v>132</v>
      </c>
      <c r="F225" s="128">
        <v>0</v>
      </c>
      <c r="G225" s="128" t="s">
        <v>65</v>
      </c>
      <c r="H225" s="136">
        <v>224</v>
      </c>
      <c r="I225" s="72"/>
      <c r="J225" s="178"/>
      <c r="K225" s="131"/>
      <c r="L225" s="173"/>
    </row>
    <row r="226" ht="45" customHeight="1" spans="1:12">
      <c r="A226" s="174" t="s">
        <v>1138</v>
      </c>
      <c r="B226" s="102" t="s">
        <v>49</v>
      </c>
      <c r="C226" s="101" t="s">
        <v>1991</v>
      </c>
      <c r="D226" s="87" t="s">
        <v>1992</v>
      </c>
      <c r="E226" s="102" t="s">
        <v>132</v>
      </c>
      <c r="F226" s="128">
        <v>0</v>
      </c>
      <c r="G226" s="128" t="s">
        <v>65</v>
      </c>
      <c r="H226" s="136">
        <v>392</v>
      </c>
      <c r="I226" s="72"/>
      <c r="J226" s="178"/>
      <c r="K226" s="131"/>
      <c r="L226" s="173"/>
    </row>
    <row r="227" ht="45" customHeight="1" spans="1:12">
      <c r="A227" s="174" t="s">
        <v>1138</v>
      </c>
      <c r="B227" s="102" t="s">
        <v>49</v>
      </c>
      <c r="C227" s="101" t="s">
        <v>1993</v>
      </c>
      <c r="D227" s="87" t="s">
        <v>1994</v>
      </c>
      <c r="E227" s="102" t="s">
        <v>132</v>
      </c>
      <c r="F227" s="128">
        <v>0</v>
      </c>
      <c r="G227" s="128" t="s">
        <v>65</v>
      </c>
      <c r="H227" s="136">
        <v>392</v>
      </c>
      <c r="I227" s="72"/>
      <c r="J227" s="178"/>
      <c r="K227" s="131"/>
      <c r="L227" s="173"/>
    </row>
    <row r="228" ht="45" customHeight="1" spans="1:12">
      <c r="A228" s="174" t="s">
        <v>1138</v>
      </c>
      <c r="B228" s="102" t="s">
        <v>49</v>
      </c>
      <c r="C228" s="101" t="s">
        <v>1995</v>
      </c>
      <c r="D228" s="87" t="s">
        <v>1996</v>
      </c>
      <c r="E228" s="102" t="s">
        <v>132</v>
      </c>
      <c r="F228" s="128">
        <v>0</v>
      </c>
      <c r="G228" s="128" t="s">
        <v>65</v>
      </c>
      <c r="H228" s="136">
        <v>364</v>
      </c>
      <c r="I228" s="72"/>
      <c r="J228" s="178"/>
      <c r="K228" s="131"/>
      <c r="L228" s="173"/>
    </row>
    <row r="229" ht="45" customHeight="1" spans="1:12">
      <c r="A229" s="174" t="s">
        <v>1138</v>
      </c>
      <c r="B229" s="102" t="s">
        <v>49</v>
      </c>
      <c r="C229" s="101" t="s">
        <v>1997</v>
      </c>
      <c r="D229" s="87" t="s">
        <v>1998</v>
      </c>
      <c r="E229" s="102" t="s">
        <v>132</v>
      </c>
      <c r="F229" s="128">
        <v>0</v>
      </c>
      <c r="G229" s="128" t="s">
        <v>65</v>
      </c>
      <c r="H229" s="136">
        <v>168</v>
      </c>
      <c r="I229" s="72"/>
      <c r="J229" s="178"/>
      <c r="K229" s="131"/>
      <c r="L229" s="173"/>
    </row>
    <row r="230" ht="45" customHeight="1" spans="1:12">
      <c r="A230" s="174" t="s">
        <v>1138</v>
      </c>
      <c r="B230" s="102" t="s">
        <v>49</v>
      </c>
      <c r="C230" s="101" t="s">
        <v>1999</v>
      </c>
      <c r="D230" s="87" t="s">
        <v>2000</v>
      </c>
      <c r="E230" s="102" t="s">
        <v>132</v>
      </c>
      <c r="F230" s="128">
        <v>0</v>
      </c>
      <c r="G230" s="128" t="s">
        <v>65</v>
      </c>
      <c r="H230" s="136">
        <v>154</v>
      </c>
      <c r="I230" s="72"/>
      <c r="J230" s="178"/>
      <c r="K230" s="131"/>
      <c r="L230" s="173"/>
    </row>
    <row r="231" ht="45" customHeight="1" spans="1:12">
      <c r="A231" s="174" t="s">
        <v>1138</v>
      </c>
      <c r="B231" s="102" t="s">
        <v>49</v>
      </c>
      <c r="C231" s="101" t="s">
        <v>2001</v>
      </c>
      <c r="D231" s="87" t="s">
        <v>2002</v>
      </c>
      <c r="E231" s="102" t="s">
        <v>132</v>
      </c>
      <c r="F231" s="128">
        <v>0</v>
      </c>
      <c r="G231" s="128" t="s">
        <v>65</v>
      </c>
      <c r="H231" s="136">
        <v>154</v>
      </c>
      <c r="I231" s="72"/>
      <c r="J231" s="178"/>
      <c r="K231" s="131"/>
      <c r="L231" s="173"/>
    </row>
    <row r="232" ht="45" customHeight="1" spans="1:12">
      <c r="A232" s="174" t="s">
        <v>1138</v>
      </c>
      <c r="B232" s="102" t="s">
        <v>49</v>
      </c>
      <c r="C232" s="101" t="s">
        <v>2003</v>
      </c>
      <c r="D232" s="87" t="s">
        <v>2004</v>
      </c>
      <c r="E232" s="102" t="s">
        <v>132</v>
      </c>
      <c r="F232" s="128">
        <v>0</v>
      </c>
      <c r="G232" s="128" t="s">
        <v>65</v>
      </c>
      <c r="H232" s="136">
        <v>224</v>
      </c>
      <c r="I232" s="72"/>
      <c r="J232" s="178"/>
      <c r="K232" s="131"/>
      <c r="L232" s="173"/>
    </row>
    <row r="233" ht="45" customHeight="1" spans="1:12">
      <c r="A233" s="174" t="s">
        <v>1138</v>
      </c>
      <c r="B233" s="102" t="s">
        <v>49</v>
      </c>
      <c r="C233" s="101" t="s">
        <v>2005</v>
      </c>
      <c r="D233" s="87" t="s">
        <v>2006</v>
      </c>
      <c r="E233" s="102" t="s">
        <v>132</v>
      </c>
      <c r="F233" s="128">
        <v>0</v>
      </c>
      <c r="G233" s="128" t="s">
        <v>65</v>
      </c>
      <c r="H233" s="136">
        <v>322</v>
      </c>
      <c r="I233" s="72"/>
      <c r="J233" s="178"/>
      <c r="K233" s="131"/>
      <c r="L233" s="173"/>
    </row>
    <row r="234" ht="45" customHeight="1" spans="1:12">
      <c r="A234" s="174" t="s">
        <v>1138</v>
      </c>
      <c r="B234" s="102" t="s">
        <v>49</v>
      </c>
      <c r="C234" s="101" t="s">
        <v>2007</v>
      </c>
      <c r="D234" s="87" t="s">
        <v>2004</v>
      </c>
      <c r="E234" s="102" t="s">
        <v>132</v>
      </c>
      <c r="F234" s="128">
        <v>0</v>
      </c>
      <c r="G234" s="128" t="s">
        <v>65</v>
      </c>
      <c r="H234" s="136">
        <v>476</v>
      </c>
      <c r="I234" s="72"/>
      <c r="J234" s="178"/>
      <c r="K234" s="131"/>
      <c r="L234" s="173"/>
    </row>
    <row r="235" ht="45" customHeight="1" spans="1:12">
      <c r="A235" s="174" t="s">
        <v>1138</v>
      </c>
      <c r="B235" s="102" t="s">
        <v>49</v>
      </c>
      <c r="C235" s="101" t="s">
        <v>2008</v>
      </c>
      <c r="D235" s="87" t="s">
        <v>2009</v>
      </c>
      <c r="E235" s="102" t="s">
        <v>132</v>
      </c>
      <c r="F235" s="128">
        <v>0</v>
      </c>
      <c r="G235" s="188" t="s">
        <v>65</v>
      </c>
      <c r="H235" s="136">
        <v>602</v>
      </c>
      <c r="I235" s="72"/>
      <c r="J235" s="178"/>
      <c r="K235" s="131"/>
      <c r="L235" s="173"/>
    </row>
    <row r="236" ht="45" customHeight="1" spans="1:12">
      <c r="A236" s="174" t="s">
        <v>1138</v>
      </c>
      <c r="B236" s="102" t="s">
        <v>49</v>
      </c>
      <c r="C236" s="101" t="s">
        <v>2010</v>
      </c>
      <c r="D236" s="87" t="s">
        <v>1984</v>
      </c>
      <c r="E236" s="102" t="s">
        <v>132</v>
      </c>
      <c r="F236" s="128">
        <v>0</v>
      </c>
      <c r="G236" s="188" t="s">
        <v>65</v>
      </c>
      <c r="H236" s="136">
        <v>574</v>
      </c>
      <c r="I236" s="72"/>
      <c r="J236" s="178"/>
      <c r="K236" s="131"/>
      <c r="L236" s="173"/>
    </row>
    <row r="237" ht="45" customHeight="1" spans="1:12">
      <c r="A237" s="174" t="s">
        <v>1138</v>
      </c>
      <c r="B237" s="102" t="s">
        <v>49</v>
      </c>
      <c r="C237" s="101" t="s">
        <v>2011</v>
      </c>
      <c r="D237" s="87" t="s">
        <v>2012</v>
      </c>
      <c r="E237" s="102" t="s">
        <v>132</v>
      </c>
      <c r="F237" s="128">
        <v>0</v>
      </c>
      <c r="G237" s="188" t="s">
        <v>65</v>
      </c>
      <c r="H237" s="136">
        <v>308</v>
      </c>
      <c r="I237" s="72"/>
      <c r="J237" s="178"/>
      <c r="K237" s="131"/>
      <c r="L237" s="173"/>
    </row>
    <row r="238" ht="45" customHeight="1" spans="1:12">
      <c r="A238" s="174" t="s">
        <v>1138</v>
      </c>
      <c r="B238" s="102" t="s">
        <v>49</v>
      </c>
      <c r="C238" s="101" t="s">
        <v>2013</v>
      </c>
      <c r="D238" s="87" t="s">
        <v>2014</v>
      </c>
      <c r="E238" s="102" t="s">
        <v>132</v>
      </c>
      <c r="F238" s="128">
        <v>0</v>
      </c>
      <c r="G238" s="188" t="s">
        <v>65</v>
      </c>
      <c r="H238" s="136">
        <v>406</v>
      </c>
      <c r="I238" s="72"/>
      <c r="J238" s="178"/>
      <c r="K238" s="131"/>
      <c r="L238" s="173"/>
    </row>
    <row r="239" ht="45" customHeight="1" spans="1:12">
      <c r="A239" s="174" t="s">
        <v>1138</v>
      </c>
      <c r="B239" s="102" t="s">
        <v>49</v>
      </c>
      <c r="C239" s="101" t="s">
        <v>2015</v>
      </c>
      <c r="D239" s="87" t="s">
        <v>2016</v>
      </c>
      <c r="E239" s="102" t="s">
        <v>132</v>
      </c>
      <c r="F239" s="128">
        <v>0</v>
      </c>
      <c r="G239" s="188" t="s">
        <v>65</v>
      </c>
      <c r="H239" s="136">
        <v>644</v>
      </c>
      <c r="I239" s="72"/>
      <c r="J239" s="178"/>
      <c r="K239" s="131"/>
      <c r="L239" s="173"/>
    </row>
    <row r="240" ht="45" customHeight="1" spans="1:12">
      <c r="A240" s="174" t="s">
        <v>1138</v>
      </c>
      <c r="B240" s="102" t="s">
        <v>49</v>
      </c>
      <c r="C240" s="101" t="s">
        <v>2017</v>
      </c>
      <c r="D240" s="87" t="s">
        <v>2018</v>
      </c>
      <c r="E240" s="102" t="s">
        <v>132</v>
      </c>
      <c r="F240" s="128">
        <v>0</v>
      </c>
      <c r="G240" s="188" t="s">
        <v>65</v>
      </c>
      <c r="H240" s="136">
        <v>322</v>
      </c>
      <c r="I240" s="72"/>
      <c r="J240" s="177" t="s">
        <v>285</v>
      </c>
      <c r="K240" s="131"/>
      <c r="L240" s="173"/>
    </row>
    <row r="241" ht="45" customHeight="1" spans="1:12">
      <c r="A241" s="174" t="s">
        <v>1138</v>
      </c>
      <c r="B241" s="102" t="s">
        <v>49</v>
      </c>
      <c r="C241" s="101" t="s">
        <v>2019</v>
      </c>
      <c r="D241" s="87" t="s">
        <v>2020</v>
      </c>
      <c r="E241" s="102" t="s">
        <v>132</v>
      </c>
      <c r="F241" s="128">
        <v>0</v>
      </c>
      <c r="G241" s="188" t="s">
        <v>65</v>
      </c>
      <c r="H241" s="136">
        <v>364</v>
      </c>
      <c r="I241" s="72"/>
      <c r="J241" s="177"/>
      <c r="K241" s="131"/>
      <c r="L241" s="173"/>
    </row>
    <row r="242" ht="45" customHeight="1" spans="1:12">
      <c r="A242" s="174" t="s">
        <v>1138</v>
      </c>
      <c r="B242" s="102" t="s">
        <v>49</v>
      </c>
      <c r="C242" s="101" t="s">
        <v>2021</v>
      </c>
      <c r="D242" s="87" t="s">
        <v>2022</v>
      </c>
      <c r="E242" s="102" t="s">
        <v>132</v>
      </c>
      <c r="F242" s="128">
        <v>0</v>
      </c>
      <c r="G242" s="188" t="s">
        <v>65</v>
      </c>
      <c r="H242" s="136">
        <v>476</v>
      </c>
      <c r="I242" s="72"/>
      <c r="J242" s="177"/>
      <c r="K242" s="131"/>
      <c r="L242" s="173"/>
    </row>
    <row r="243" ht="45" customHeight="1" spans="1:12">
      <c r="A243" s="174" t="s">
        <v>1138</v>
      </c>
      <c r="B243" s="102" t="s">
        <v>49</v>
      </c>
      <c r="C243" s="101" t="s">
        <v>2023</v>
      </c>
      <c r="D243" s="87" t="s">
        <v>2024</v>
      </c>
      <c r="E243" s="102" t="s">
        <v>132</v>
      </c>
      <c r="F243" s="128">
        <v>0</v>
      </c>
      <c r="G243" s="188" t="s">
        <v>65</v>
      </c>
      <c r="H243" s="136">
        <v>700</v>
      </c>
      <c r="I243" s="72"/>
      <c r="J243" s="177"/>
      <c r="K243" s="131"/>
      <c r="L243" s="173"/>
    </row>
    <row r="244" ht="45" customHeight="1" spans="1:12">
      <c r="A244" s="174" t="s">
        <v>1138</v>
      </c>
      <c r="B244" s="102" t="s">
        <v>49</v>
      </c>
      <c r="C244" s="101" t="s">
        <v>2025</v>
      </c>
      <c r="D244" s="87" t="s">
        <v>2026</v>
      </c>
      <c r="E244" s="102" t="s">
        <v>132</v>
      </c>
      <c r="F244" s="128">
        <v>0</v>
      </c>
      <c r="G244" s="188" t="s">
        <v>65</v>
      </c>
      <c r="H244" s="136">
        <v>700</v>
      </c>
      <c r="I244" s="114"/>
      <c r="J244" s="177"/>
      <c r="K244" s="131"/>
      <c r="L244" s="173"/>
    </row>
    <row r="245" ht="45" customHeight="1" spans="1:12">
      <c r="A245" s="174" t="s">
        <v>1138</v>
      </c>
      <c r="B245" s="102" t="s">
        <v>49</v>
      </c>
      <c r="C245" s="101" t="s">
        <v>2027</v>
      </c>
      <c r="D245" s="87" t="s">
        <v>2028</v>
      </c>
      <c r="E245" s="102" t="s">
        <v>132</v>
      </c>
      <c r="F245" s="128">
        <v>0</v>
      </c>
      <c r="G245" s="188" t="s">
        <v>65</v>
      </c>
      <c r="H245" s="136">
        <v>616</v>
      </c>
      <c r="I245" s="114"/>
      <c r="J245" s="177"/>
      <c r="K245" s="131"/>
      <c r="L245" s="173"/>
    </row>
    <row r="246" ht="45" customHeight="1" spans="1:12">
      <c r="A246" s="174" t="s">
        <v>1138</v>
      </c>
      <c r="B246" s="102" t="s">
        <v>49</v>
      </c>
      <c r="C246" s="101" t="s">
        <v>2029</v>
      </c>
      <c r="D246" s="87" t="s">
        <v>2030</v>
      </c>
      <c r="E246" s="102" t="s">
        <v>132</v>
      </c>
      <c r="F246" s="128">
        <v>0</v>
      </c>
      <c r="G246" s="188" t="s">
        <v>65</v>
      </c>
      <c r="H246" s="136">
        <v>616</v>
      </c>
      <c r="I246" s="114"/>
      <c r="J246" s="177"/>
      <c r="K246" s="131"/>
      <c r="L246" s="173"/>
    </row>
    <row r="247" ht="45" customHeight="1" spans="1:12">
      <c r="A247" s="174" t="s">
        <v>1138</v>
      </c>
      <c r="B247" s="102" t="s">
        <v>49</v>
      </c>
      <c r="C247" s="101" t="s">
        <v>2031</v>
      </c>
      <c r="D247" s="87" t="s">
        <v>2032</v>
      </c>
      <c r="E247" s="102" t="s">
        <v>132</v>
      </c>
      <c r="F247" s="128">
        <v>0</v>
      </c>
      <c r="G247" s="188" t="s">
        <v>65</v>
      </c>
      <c r="H247" s="136">
        <v>616</v>
      </c>
      <c r="I247" s="114"/>
      <c r="J247" s="177"/>
      <c r="K247" s="131"/>
      <c r="L247" s="173"/>
    </row>
    <row r="248" ht="45" customHeight="1" spans="1:12">
      <c r="A248" s="174" t="s">
        <v>1138</v>
      </c>
      <c r="B248" s="102" t="s">
        <v>49</v>
      </c>
      <c r="C248" s="101" t="s">
        <v>2033</v>
      </c>
      <c r="D248" s="87" t="s">
        <v>2034</v>
      </c>
      <c r="E248" s="102" t="s">
        <v>132</v>
      </c>
      <c r="F248" s="128">
        <v>0</v>
      </c>
      <c r="G248" s="188" t="s">
        <v>65</v>
      </c>
      <c r="H248" s="136">
        <v>182</v>
      </c>
      <c r="I248" s="72"/>
      <c r="J248" s="178"/>
      <c r="K248" s="131"/>
      <c r="L248" s="173"/>
    </row>
    <row r="249" ht="45" customHeight="1" spans="1:12">
      <c r="A249" s="174" t="s">
        <v>1138</v>
      </c>
      <c r="B249" s="102" t="s">
        <v>49</v>
      </c>
      <c r="C249" s="101" t="s">
        <v>2035</v>
      </c>
      <c r="D249" s="87" t="s">
        <v>2036</v>
      </c>
      <c r="E249" s="102" t="s">
        <v>132</v>
      </c>
      <c r="F249" s="128">
        <v>0</v>
      </c>
      <c r="G249" s="188" t="s">
        <v>65</v>
      </c>
      <c r="H249" s="136">
        <v>196</v>
      </c>
      <c r="I249" s="72"/>
      <c r="J249" s="178"/>
      <c r="K249" s="131"/>
      <c r="L249" s="173"/>
    </row>
    <row r="250" ht="45" customHeight="1" spans="1:12">
      <c r="A250" s="174" t="s">
        <v>1138</v>
      </c>
      <c r="B250" s="102" t="s">
        <v>49</v>
      </c>
      <c r="C250" s="101" t="s">
        <v>2037</v>
      </c>
      <c r="D250" s="87" t="s">
        <v>2038</v>
      </c>
      <c r="E250" s="102" t="s">
        <v>132</v>
      </c>
      <c r="F250" s="128">
        <v>0</v>
      </c>
      <c r="G250" s="128" t="s">
        <v>65</v>
      </c>
      <c r="H250" s="136">
        <v>196</v>
      </c>
      <c r="I250" s="72"/>
      <c r="J250" s="178"/>
      <c r="K250" s="131"/>
      <c r="L250" s="173"/>
    </row>
    <row r="251" ht="45" customHeight="1" spans="1:12">
      <c r="A251" s="174" t="s">
        <v>1138</v>
      </c>
      <c r="B251" s="102" t="s">
        <v>49</v>
      </c>
      <c r="C251" s="101" t="s">
        <v>2039</v>
      </c>
      <c r="D251" s="87" t="s">
        <v>2040</v>
      </c>
      <c r="E251" s="102" t="s">
        <v>132</v>
      </c>
      <c r="F251" s="128">
        <v>0</v>
      </c>
      <c r="G251" s="128" t="s">
        <v>65</v>
      </c>
      <c r="H251" s="136">
        <v>476</v>
      </c>
      <c r="I251" s="72"/>
      <c r="J251" s="178"/>
      <c r="K251" s="131"/>
      <c r="L251" s="173"/>
    </row>
    <row r="252" ht="45" customHeight="1" spans="1:12">
      <c r="A252" s="174" t="s">
        <v>1138</v>
      </c>
      <c r="B252" s="102" t="s">
        <v>49</v>
      </c>
      <c r="C252" s="101" t="s">
        <v>2041</v>
      </c>
      <c r="D252" s="87" t="s">
        <v>2042</v>
      </c>
      <c r="E252" s="102" t="s">
        <v>132</v>
      </c>
      <c r="F252" s="128">
        <v>0</v>
      </c>
      <c r="G252" s="128" t="s">
        <v>65</v>
      </c>
      <c r="H252" s="136">
        <v>420</v>
      </c>
      <c r="I252" s="72"/>
      <c r="J252" s="178"/>
      <c r="K252" s="131"/>
      <c r="L252" s="173"/>
    </row>
    <row r="253" ht="45" customHeight="1" spans="1:12">
      <c r="A253" s="174" t="s">
        <v>1138</v>
      </c>
      <c r="B253" s="102" t="s">
        <v>49</v>
      </c>
      <c r="C253" s="101" t="s">
        <v>2043</v>
      </c>
      <c r="D253" s="87" t="s">
        <v>2044</v>
      </c>
      <c r="E253" s="102" t="s">
        <v>132</v>
      </c>
      <c r="F253" s="128">
        <v>0</v>
      </c>
      <c r="G253" s="128" t="s">
        <v>65</v>
      </c>
      <c r="H253" s="136">
        <v>742</v>
      </c>
      <c r="I253" s="72"/>
      <c r="J253" s="178"/>
      <c r="K253" s="131"/>
      <c r="L253" s="173"/>
    </row>
    <row r="254" ht="45" customHeight="1" spans="1:12">
      <c r="A254" s="174" t="s">
        <v>1138</v>
      </c>
      <c r="B254" s="102" t="s">
        <v>49</v>
      </c>
      <c r="C254" s="101" t="s">
        <v>2045</v>
      </c>
      <c r="D254" s="87" t="s">
        <v>2046</v>
      </c>
      <c r="E254" s="102" t="s">
        <v>132</v>
      </c>
      <c r="F254" s="128">
        <v>0</v>
      </c>
      <c r="G254" s="128" t="s">
        <v>65</v>
      </c>
      <c r="H254" s="136">
        <v>742</v>
      </c>
      <c r="I254" s="72"/>
      <c r="J254" s="178"/>
      <c r="K254" s="131"/>
      <c r="L254" s="173"/>
    </row>
    <row r="255" ht="45" customHeight="1" spans="1:12">
      <c r="A255" s="174" t="s">
        <v>1138</v>
      </c>
      <c r="B255" s="102" t="s">
        <v>49</v>
      </c>
      <c r="C255" s="101" t="s">
        <v>2047</v>
      </c>
      <c r="D255" s="87" t="s">
        <v>2048</v>
      </c>
      <c r="E255" s="102" t="s">
        <v>132</v>
      </c>
      <c r="F255" s="128">
        <v>0</v>
      </c>
      <c r="G255" s="128" t="s">
        <v>65</v>
      </c>
      <c r="H255" s="136">
        <v>686</v>
      </c>
      <c r="I255" s="72"/>
      <c r="J255" s="178"/>
      <c r="K255" s="131"/>
      <c r="L255" s="173"/>
    </row>
    <row r="256" ht="45" customHeight="1" spans="1:12">
      <c r="A256" s="174" t="s">
        <v>1138</v>
      </c>
      <c r="B256" s="102" t="s">
        <v>49</v>
      </c>
      <c r="C256" s="101" t="s">
        <v>2049</v>
      </c>
      <c r="D256" s="87" t="s">
        <v>2050</v>
      </c>
      <c r="E256" s="102" t="s">
        <v>132</v>
      </c>
      <c r="F256" s="128">
        <v>0</v>
      </c>
      <c r="G256" s="128" t="s">
        <v>65</v>
      </c>
      <c r="H256" s="136">
        <v>308</v>
      </c>
      <c r="I256" s="72"/>
      <c r="J256" s="178"/>
      <c r="K256" s="131"/>
      <c r="L256" s="173"/>
    </row>
    <row r="257" ht="45" customHeight="1" spans="1:12">
      <c r="A257" s="174" t="s">
        <v>1138</v>
      </c>
      <c r="B257" s="102" t="s">
        <v>49</v>
      </c>
      <c r="C257" s="101" t="s">
        <v>2051</v>
      </c>
      <c r="D257" s="87" t="s">
        <v>2052</v>
      </c>
      <c r="E257" s="102" t="s">
        <v>132</v>
      </c>
      <c r="F257" s="128">
        <v>0</v>
      </c>
      <c r="G257" s="128" t="s">
        <v>65</v>
      </c>
      <c r="H257" s="136">
        <v>294</v>
      </c>
      <c r="I257" s="72"/>
      <c r="J257" s="178"/>
      <c r="K257" s="131"/>
      <c r="L257" s="173"/>
    </row>
    <row r="258" ht="45" customHeight="1" spans="1:12">
      <c r="A258" s="174" t="s">
        <v>1138</v>
      </c>
      <c r="B258" s="102" t="s">
        <v>49</v>
      </c>
      <c r="C258" s="101" t="s">
        <v>2053</v>
      </c>
      <c r="D258" s="87" t="s">
        <v>2054</v>
      </c>
      <c r="E258" s="102" t="s">
        <v>132</v>
      </c>
      <c r="F258" s="128">
        <v>0</v>
      </c>
      <c r="G258" s="128" t="s">
        <v>65</v>
      </c>
      <c r="H258" s="136">
        <v>294</v>
      </c>
      <c r="I258" s="72"/>
      <c r="J258" s="178"/>
      <c r="K258" s="131"/>
      <c r="L258" s="173"/>
    </row>
    <row r="259" ht="45" customHeight="1" spans="1:12">
      <c r="A259" s="174" t="s">
        <v>1138</v>
      </c>
      <c r="B259" s="102" t="s">
        <v>49</v>
      </c>
      <c r="C259" s="101" t="s">
        <v>2055</v>
      </c>
      <c r="D259" s="87" t="s">
        <v>2056</v>
      </c>
      <c r="E259" s="102" t="s">
        <v>132</v>
      </c>
      <c r="F259" s="128">
        <v>0</v>
      </c>
      <c r="G259" s="128" t="s">
        <v>65</v>
      </c>
      <c r="H259" s="136">
        <v>420</v>
      </c>
      <c r="I259" s="72"/>
      <c r="J259" s="178"/>
      <c r="K259" s="131"/>
      <c r="L259" s="173"/>
    </row>
    <row r="260" ht="45" customHeight="1" spans="1:12">
      <c r="A260" s="174" t="s">
        <v>1138</v>
      </c>
      <c r="B260" s="102" t="s">
        <v>49</v>
      </c>
      <c r="C260" s="101" t="s">
        <v>2057</v>
      </c>
      <c r="D260" s="87" t="s">
        <v>2058</v>
      </c>
      <c r="E260" s="102" t="s">
        <v>132</v>
      </c>
      <c r="F260" s="128">
        <v>0</v>
      </c>
      <c r="G260" s="128" t="s">
        <v>65</v>
      </c>
      <c r="H260" s="136">
        <v>602</v>
      </c>
      <c r="I260" s="72"/>
      <c r="J260" s="178"/>
      <c r="K260" s="131"/>
      <c r="L260" s="173"/>
    </row>
    <row r="261" ht="45" customHeight="1" spans="1:12">
      <c r="A261" s="174" t="s">
        <v>1138</v>
      </c>
      <c r="B261" s="102" t="s">
        <v>49</v>
      </c>
      <c r="C261" s="101" t="s">
        <v>2059</v>
      </c>
      <c r="D261" s="87" t="s">
        <v>2056</v>
      </c>
      <c r="E261" s="102" t="s">
        <v>132</v>
      </c>
      <c r="F261" s="128">
        <v>0</v>
      </c>
      <c r="G261" s="128" t="s">
        <v>65</v>
      </c>
      <c r="H261" s="136">
        <v>896</v>
      </c>
      <c r="I261" s="72"/>
      <c r="J261" s="178"/>
      <c r="K261" s="131"/>
      <c r="L261" s="173"/>
    </row>
    <row r="262" ht="45" customHeight="1" spans="1:12">
      <c r="A262" s="174" t="s">
        <v>1138</v>
      </c>
      <c r="B262" s="102" t="s">
        <v>49</v>
      </c>
      <c r="C262" s="101" t="s">
        <v>2060</v>
      </c>
      <c r="D262" s="87" t="s">
        <v>2061</v>
      </c>
      <c r="E262" s="102" t="s">
        <v>132</v>
      </c>
      <c r="F262" s="128">
        <v>0</v>
      </c>
      <c r="G262" s="128" t="s">
        <v>65</v>
      </c>
      <c r="H262" s="136">
        <v>1148</v>
      </c>
      <c r="I262" s="72"/>
      <c r="J262" s="178"/>
      <c r="K262" s="131"/>
      <c r="L262" s="173"/>
    </row>
    <row r="263" ht="45" customHeight="1" spans="1:12">
      <c r="A263" s="174" t="s">
        <v>1138</v>
      </c>
      <c r="B263" s="102" t="s">
        <v>49</v>
      </c>
      <c r="C263" s="101" t="s">
        <v>2062</v>
      </c>
      <c r="D263" s="87" t="s">
        <v>2063</v>
      </c>
      <c r="E263" s="102" t="s">
        <v>132</v>
      </c>
      <c r="F263" s="128">
        <v>0</v>
      </c>
      <c r="G263" s="128" t="s">
        <v>65</v>
      </c>
      <c r="H263" s="136">
        <v>1078</v>
      </c>
      <c r="I263" s="72"/>
      <c r="J263" s="178"/>
      <c r="K263" s="131"/>
      <c r="L263" s="173"/>
    </row>
    <row r="264" ht="45" customHeight="1" spans="1:12">
      <c r="A264" s="174" t="s">
        <v>1138</v>
      </c>
      <c r="B264" s="102" t="s">
        <v>49</v>
      </c>
      <c r="C264" s="101" t="s">
        <v>2064</v>
      </c>
      <c r="D264" s="87" t="s">
        <v>2065</v>
      </c>
      <c r="E264" s="102" t="s">
        <v>132</v>
      </c>
      <c r="F264" s="128">
        <v>0</v>
      </c>
      <c r="G264" s="128" t="s">
        <v>65</v>
      </c>
      <c r="H264" s="136">
        <v>574</v>
      </c>
      <c r="I264" s="72"/>
      <c r="J264" s="178"/>
      <c r="K264" s="131"/>
      <c r="L264" s="173"/>
    </row>
    <row r="265" ht="45" customHeight="1" spans="1:12">
      <c r="A265" s="174" t="s">
        <v>1138</v>
      </c>
      <c r="B265" s="102" t="s">
        <v>49</v>
      </c>
      <c r="C265" s="101" t="s">
        <v>2066</v>
      </c>
      <c r="D265" s="87" t="s">
        <v>2067</v>
      </c>
      <c r="E265" s="102" t="s">
        <v>132</v>
      </c>
      <c r="F265" s="128">
        <v>0</v>
      </c>
      <c r="G265" s="128" t="s">
        <v>65</v>
      </c>
      <c r="H265" s="136">
        <v>756</v>
      </c>
      <c r="I265" s="72"/>
      <c r="J265" s="178"/>
      <c r="K265" s="131"/>
    </row>
    <row r="266" ht="45" customHeight="1" spans="1:12">
      <c r="A266" s="174" t="s">
        <v>1138</v>
      </c>
      <c r="B266" s="102" t="s">
        <v>49</v>
      </c>
      <c r="C266" s="101" t="s">
        <v>2068</v>
      </c>
      <c r="D266" s="87" t="s">
        <v>2069</v>
      </c>
      <c r="E266" s="102" t="s">
        <v>132</v>
      </c>
      <c r="F266" s="128">
        <v>0</v>
      </c>
      <c r="G266" s="128" t="s">
        <v>65</v>
      </c>
      <c r="H266" s="136">
        <v>1204</v>
      </c>
      <c r="I266" s="72"/>
      <c r="J266" s="178"/>
      <c r="K266" s="131"/>
      <c r="L266" s="173"/>
    </row>
    <row r="267" ht="45" customHeight="1" spans="1:12">
      <c r="A267" s="174" t="s">
        <v>1138</v>
      </c>
      <c r="B267" s="102" t="s">
        <v>49</v>
      </c>
      <c r="C267" s="101" t="s">
        <v>2070</v>
      </c>
      <c r="D267" s="87" t="s">
        <v>2071</v>
      </c>
      <c r="E267" s="102" t="s">
        <v>132</v>
      </c>
      <c r="F267" s="128">
        <v>0</v>
      </c>
      <c r="G267" s="128" t="s">
        <v>65</v>
      </c>
      <c r="H267" s="136">
        <v>598</v>
      </c>
      <c r="I267" s="72"/>
      <c r="J267" s="177" t="s">
        <v>285</v>
      </c>
      <c r="K267" s="131"/>
      <c r="L267" s="173"/>
    </row>
    <row r="268" ht="45" customHeight="1" spans="1:12">
      <c r="A268" s="174" t="s">
        <v>1138</v>
      </c>
      <c r="B268" s="102" t="s">
        <v>49</v>
      </c>
      <c r="C268" s="101" t="s">
        <v>2072</v>
      </c>
      <c r="D268" s="87" t="s">
        <v>2073</v>
      </c>
      <c r="E268" s="102" t="s">
        <v>132</v>
      </c>
      <c r="F268" s="128">
        <v>0</v>
      </c>
      <c r="G268" s="128" t="s">
        <v>65</v>
      </c>
      <c r="H268" s="136">
        <v>686</v>
      </c>
      <c r="I268" s="72"/>
      <c r="J268" s="177"/>
      <c r="K268" s="131"/>
      <c r="L268" s="173"/>
    </row>
    <row r="269" ht="45" customHeight="1" spans="1:12">
      <c r="A269" s="174" t="s">
        <v>1138</v>
      </c>
      <c r="B269" s="102" t="s">
        <v>49</v>
      </c>
      <c r="C269" s="101" t="s">
        <v>2074</v>
      </c>
      <c r="D269" s="87" t="s">
        <v>2075</v>
      </c>
      <c r="E269" s="102" t="s">
        <v>132</v>
      </c>
      <c r="F269" s="128">
        <v>0</v>
      </c>
      <c r="G269" s="128" t="s">
        <v>65</v>
      </c>
      <c r="H269" s="136">
        <v>896</v>
      </c>
      <c r="I269" s="72"/>
      <c r="J269" s="177"/>
      <c r="K269" s="131"/>
      <c r="L269" s="173"/>
    </row>
    <row r="270" ht="45" customHeight="1" spans="1:12">
      <c r="A270" s="174" t="s">
        <v>1138</v>
      </c>
      <c r="B270" s="102" t="s">
        <v>49</v>
      </c>
      <c r="C270" s="101" t="s">
        <v>2076</v>
      </c>
      <c r="D270" s="87" t="s">
        <v>2077</v>
      </c>
      <c r="E270" s="102" t="s">
        <v>132</v>
      </c>
      <c r="F270" s="128">
        <v>0</v>
      </c>
      <c r="G270" s="128" t="s">
        <v>65</v>
      </c>
      <c r="H270" s="136">
        <v>1316</v>
      </c>
      <c r="I270" s="114"/>
      <c r="J270" s="177"/>
      <c r="K270" s="131"/>
      <c r="L270" s="173"/>
    </row>
    <row r="271" ht="45" customHeight="1" spans="1:12">
      <c r="A271" s="174" t="s">
        <v>1138</v>
      </c>
      <c r="B271" s="102" t="s">
        <v>49</v>
      </c>
      <c r="C271" s="101" t="s">
        <v>2078</v>
      </c>
      <c r="D271" s="87" t="s">
        <v>2079</v>
      </c>
      <c r="E271" s="102" t="s">
        <v>132</v>
      </c>
      <c r="F271" s="128">
        <v>0</v>
      </c>
      <c r="G271" s="128" t="s">
        <v>65</v>
      </c>
      <c r="H271" s="136">
        <v>1316</v>
      </c>
      <c r="I271" s="114"/>
      <c r="J271" s="177"/>
      <c r="K271" s="131"/>
      <c r="L271" s="173"/>
    </row>
    <row r="272" ht="45" customHeight="1" spans="1:12">
      <c r="A272" s="174" t="s">
        <v>1138</v>
      </c>
      <c r="B272" s="102" t="s">
        <v>49</v>
      </c>
      <c r="C272" s="101" t="s">
        <v>2080</v>
      </c>
      <c r="D272" s="87" t="s">
        <v>2081</v>
      </c>
      <c r="E272" s="102" t="s">
        <v>132</v>
      </c>
      <c r="F272" s="128">
        <v>0</v>
      </c>
      <c r="G272" s="128" t="s">
        <v>65</v>
      </c>
      <c r="H272" s="136">
        <v>1162</v>
      </c>
      <c r="I272" s="114"/>
      <c r="J272" s="177"/>
      <c r="K272" s="131"/>
      <c r="L272" s="173"/>
    </row>
    <row r="273" ht="45" customHeight="1" spans="1:12">
      <c r="A273" s="174" t="s">
        <v>1138</v>
      </c>
      <c r="B273" s="102" t="s">
        <v>49</v>
      </c>
      <c r="C273" s="101" t="s">
        <v>2082</v>
      </c>
      <c r="D273" s="87" t="s">
        <v>2083</v>
      </c>
      <c r="E273" s="102" t="s">
        <v>132</v>
      </c>
      <c r="F273" s="128">
        <v>0</v>
      </c>
      <c r="G273" s="128" t="s">
        <v>65</v>
      </c>
      <c r="H273" s="136">
        <v>1162</v>
      </c>
      <c r="I273" s="114"/>
      <c r="J273" s="177"/>
      <c r="K273" s="131"/>
      <c r="L273" s="173"/>
    </row>
    <row r="274" ht="45" customHeight="1" spans="1:12">
      <c r="A274" s="174" t="s">
        <v>1138</v>
      </c>
      <c r="B274" s="102" t="s">
        <v>49</v>
      </c>
      <c r="C274" s="101" t="s">
        <v>2084</v>
      </c>
      <c r="D274" s="87" t="s">
        <v>2085</v>
      </c>
      <c r="E274" s="102" t="s">
        <v>132</v>
      </c>
      <c r="F274" s="128">
        <v>0</v>
      </c>
      <c r="G274" s="128" t="s">
        <v>65</v>
      </c>
      <c r="H274" s="136">
        <v>1162</v>
      </c>
      <c r="I274" s="114"/>
      <c r="J274" s="177"/>
      <c r="K274" s="131"/>
      <c r="L274" s="173"/>
    </row>
    <row r="275" ht="45" customHeight="1" spans="1:12">
      <c r="A275" s="174" t="s">
        <v>1138</v>
      </c>
      <c r="B275" s="102" t="s">
        <v>49</v>
      </c>
      <c r="C275" s="101" t="s">
        <v>2086</v>
      </c>
      <c r="D275" s="87" t="s">
        <v>2087</v>
      </c>
      <c r="E275" s="102" t="s">
        <v>132</v>
      </c>
      <c r="F275" s="128">
        <v>0</v>
      </c>
      <c r="G275" s="128" t="s">
        <v>65</v>
      </c>
      <c r="H275" s="136">
        <v>280</v>
      </c>
      <c r="I275" s="72"/>
      <c r="J275" s="177"/>
      <c r="K275" s="131"/>
      <c r="L275" s="173"/>
    </row>
    <row r="276" ht="45" customHeight="1" spans="1:12">
      <c r="A276" s="174" t="s">
        <v>1138</v>
      </c>
      <c r="B276" s="102" t="s">
        <v>49</v>
      </c>
      <c r="C276" s="101" t="s">
        <v>2088</v>
      </c>
      <c r="D276" s="87" t="s">
        <v>2089</v>
      </c>
      <c r="E276" s="102" t="s">
        <v>132</v>
      </c>
      <c r="F276" s="128">
        <v>0</v>
      </c>
      <c r="G276" s="128" t="s">
        <v>65</v>
      </c>
      <c r="H276" s="136">
        <v>1092</v>
      </c>
      <c r="I276" s="72"/>
      <c r="J276" s="177"/>
      <c r="K276" s="178"/>
      <c r="L276" s="173"/>
    </row>
    <row r="277" ht="45" customHeight="1" spans="1:12">
      <c r="A277" s="174" t="s">
        <v>1138</v>
      </c>
      <c r="B277" s="102" t="s">
        <v>49</v>
      </c>
      <c r="C277" s="101" t="s">
        <v>2090</v>
      </c>
      <c r="D277" s="87" t="s">
        <v>2091</v>
      </c>
      <c r="E277" s="102" t="s">
        <v>132</v>
      </c>
      <c r="F277" s="128">
        <v>0</v>
      </c>
      <c r="G277" s="72" t="s">
        <v>65</v>
      </c>
      <c r="H277" s="136">
        <v>1116</v>
      </c>
      <c r="I277" s="72"/>
      <c r="J277" s="102"/>
      <c r="K277" s="95"/>
      <c r="L277" s="173"/>
    </row>
    <row r="278" ht="45" customHeight="1" spans="1:12">
      <c r="A278" s="174" t="s">
        <v>1138</v>
      </c>
      <c r="B278" s="102" t="s">
        <v>49</v>
      </c>
      <c r="C278" s="101" t="s">
        <v>2092</v>
      </c>
      <c r="D278" s="87" t="s">
        <v>2093</v>
      </c>
      <c r="E278" s="102" t="s">
        <v>132</v>
      </c>
      <c r="F278" s="128">
        <v>0</v>
      </c>
      <c r="G278" s="72" t="s">
        <v>65</v>
      </c>
      <c r="H278" s="136">
        <v>1092</v>
      </c>
      <c r="I278" s="72"/>
      <c r="J278" s="102"/>
      <c r="K278" s="131"/>
      <c r="L278" s="173"/>
    </row>
    <row r="279" ht="45" customHeight="1" spans="1:12">
      <c r="A279" s="174" t="s">
        <v>1138</v>
      </c>
      <c r="B279" s="102" t="s">
        <v>49</v>
      </c>
      <c r="C279" s="101" t="s">
        <v>2094</v>
      </c>
      <c r="D279" s="87" t="s">
        <v>2095</v>
      </c>
      <c r="E279" s="102" t="s">
        <v>132</v>
      </c>
      <c r="F279" s="128">
        <v>0</v>
      </c>
      <c r="G279" s="72" t="s">
        <v>65</v>
      </c>
      <c r="H279" s="136">
        <v>994</v>
      </c>
      <c r="I279" s="72"/>
      <c r="J279" s="102"/>
      <c r="K279" s="131"/>
      <c r="L279" s="173"/>
    </row>
    <row r="280" ht="45" customHeight="1" spans="1:12">
      <c r="A280" s="174" t="s">
        <v>1138</v>
      </c>
      <c r="B280" s="102" t="s">
        <v>49</v>
      </c>
      <c r="C280" s="101" t="s">
        <v>2096</v>
      </c>
      <c r="D280" s="87" t="s">
        <v>2097</v>
      </c>
      <c r="E280" s="102" t="s">
        <v>132</v>
      </c>
      <c r="F280" s="128">
        <v>0</v>
      </c>
      <c r="G280" s="72" t="s">
        <v>65</v>
      </c>
      <c r="H280" s="136">
        <v>448</v>
      </c>
      <c r="I280" s="72"/>
      <c r="J280" s="102"/>
      <c r="K280" s="131"/>
      <c r="L280" s="173"/>
    </row>
    <row r="281" ht="45" customHeight="1" spans="1:12">
      <c r="A281" s="174" t="s">
        <v>1138</v>
      </c>
      <c r="B281" s="102" t="s">
        <v>49</v>
      </c>
      <c r="C281" s="101" t="s">
        <v>2098</v>
      </c>
      <c r="D281" s="87" t="s">
        <v>2099</v>
      </c>
      <c r="E281" s="102" t="s">
        <v>132</v>
      </c>
      <c r="F281" s="128">
        <v>0</v>
      </c>
      <c r="G281" s="72" t="s">
        <v>65</v>
      </c>
      <c r="H281" s="136">
        <v>434</v>
      </c>
      <c r="I281" s="72"/>
      <c r="J281" s="102"/>
      <c r="K281" s="178"/>
      <c r="L281" s="173"/>
    </row>
    <row r="282" ht="45" customHeight="1" spans="1:12">
      <c r="A282" s="174" t="s">
        <v>1138</v>
      </c>
      <c r="B282" s="102" t="s">
        <v>49</v>
      </c>
      <c r="C282" s="101" t="s">
        <v>2100</v>
      </c>
      <c r="D282" s="87" t="s">
        <v>2101</v>
      </c>
      <c r="E282" s="102" t="s">
        <v>132</v>
      </c>
      <c r="F282" s="128">
        <v>0</v>
      </c>
      <c r="G282" s="128" t="s">
        <v>65</v>
      </c>
      <c r="H282" s="136">
        <v>434</v>
      </c>
      <c r="I282" s="72"/>
      <c r="J282" s="177"/>
      <c r="K282" s="178"/>
      <c r="L282" s="173"/>
    </row>
    <row r="283" ht="45" customHeight="1" spans="1:12">
      <c r="A283" s="174" t="s">
        <v>1138</v>
      </c>
      <c r="B283" s="102" t="s">
        <v>49</v>
      </c>
      <c r="C283" s="101" t="s">
        <v>2102</v>
      </c>
      <c r="D283" s="87" t="s">
        <v>2103</v>
      </c>
      <c r="E283" s="102" t="s">
        <v>132</v>
      </c>
      <c r="F283" s="128">
        <v>0</v>
      </c>
      <c r="G283" s="128" t="s">
        <v>65</v>
      </c>
      <c r="H283" s="136">
        <v>602</v>
      </c>
      <c r="I283" s="72"/>
      <c r="J283" s="177"/>
      <c r="K283" s="178"/>
      <c r="L283" s="173"/>
    </row>
    <row r="284" ht="45" customHeight="1" spans="1:12">
      <c r="A284" s="174" t="s">
        <v>1138</v>
      </c>
      <c r="B284" s="102" t="s">
        <v>49</v>
      </c>
      <c r="C284" s="101" t="s">
        <v>2104</v>
      </c>
      <c r="D284" s="87" t="s">
        <v>2105</v>
      </c>
      <c r="E284" s="102" t="s">
        <v>132</v>
      </c>
      <c r="F284" s="128">
        <v>0</v>
      </c>
      <c r="G284" s="128" t="s">
        <v>65</v>
      </c>
      <c r="H284" s="136">
        <v>868</v>
      </c>
      <c r="I284" s="72"/>
      <c r="J284" s="177"/>
      <c r="K284" s="178"/>
      <c r="L284" s="173"/>
    </row>
    <row r="285" ht="45" customHeight="1" spans="1:12">
      <c r="A285" s="174" t="s">
        <v>1138</v>
      </c>
      <c r="B285" s="102" t="s">
        <v>49</v>
      </c>
      <c r="C285" s="101" t="s">
        <v>2106</v>
      </c>
      <c r="D285" s="87" t="s">
        <v>2107</v>
      </c>
      <c r="E285" s="102" t="s">
        <v>132</v>
      </c>
      <c r="F285" s="128">
        <v>0</v>
      </c>
      <c r="G285" s="128" t="s">
        <v>65</v>
      </c>
      <c r="H285" s="136">
        <v>1652</v>
      </c>
      <c r="I285" s="72"/>
      <c r="J285" s="177"/>
      <c r="K285" s="178"/>
      <c r="L285" s="173"/>
    </row>
    <row r="286" ht="45" customHeight="1" spans="1:12">
      <c r="A286" s="174" t="s">
        <v>1138</v>
      </c>
      <c r="B286" s="102" t="s">
        <v>49</v>
      </c>
      <c r="C286" s="101" t="s">
        <v>2108</v>
      </c>
      <c r="D286" s="87" t="s">
        <v>2109</v>
      </c>
      <c r="E286" s="102" t="s">
        <v>132</v>
      </c>
      <c r="F286" s="128">
        <v>0</v>
      </c>
      <c r="G286" s="128" t="s">
        <v>65</v>
      </c>
      <c r="H286" s="136">
        <v>1568</v>
      </c>
      <c r="I286" s="72"/>
      <c r="J286" s="177"/>
      <c r="K286" s="178"/>
      <c r="L286" s="173"/>
    </row>
    <row r="287" ht="45" customHeight="1" spans="1:12">
      <c r="A287" s="174" t="s">
        <v>1138</v>
      </c>
      <c r="B287" s="102" t="s">
        <v>49</v>
      </c>
      <c r="C287" s="101" t="s">
        <v>2110</v>
      </c>
      <c r="D287" s="87" t="s">
        <v>2111</v>
      </c>
      <c r="E287" s="102" t="s">
        <v>132</v>
      </c>
      <c r="F287" s="128">
        <v>0</v>
      </c>
      <c r="G287" s="72" t="s">
        <v>65</v>
      </c>
      <c r="H287" s="136">
        <v>1302</v>
      </c>
      <c r="I287" s="72"/>
      <c r="J287" s="102"/>
      <c r="K287" s="131"/>
      <c r="L287" s="173"/>
    </row>
    <row r="288" ht="45" customHeight="1" spans="1:12">
      <c r="A288" s="174" t="s">
        <v>1138</v>
      </c>
      <c r="B288" s="102" t="s">
        <v>49</v>
      </c>
      <c r="C288" s="101" t="s">
        <v>2112</v>
      </c>
      <c r="D288" s="87" t="s">
        <v>2113</v>
      </c>
      <c r="E288" s="102" t="s">
        <v>132</v>
      </c>
      <c r="F288" s="128">
        <v>0</v>
      </c>
      <c r="G288" s="72" t="s">
        <v>65</v>
      </c>
      <c r="H288" s="136">
        <v>1750</v>
      </c>
      <c r="I288" s="72"/>
      <c r="J288" s="102"/>
      <c r="K288" s="131"/>
      <c r="L288" s="173"/>
    </row>
    <row r="289" ht="45" customHeight="1" spans="1:12">
      <c r="A289" s="174" t="s">
        <v>1138</v>
      </c>
      <c r="B289" s="102" t="s">
        <v>49</v>
      </c>
      <c r="C289" s="101" t="s">
        <v>2114</v>
      </c>
      <c r="D289" s="87" t="s">
        <v>2115</v>
      </c>
      <c r="E289" s="102" t="s">
        <v>132</v>
      </c>
      <c r="F289" s="128">
        <v>0</v>
      </c>
      <c r="G289" s="72" t="s">
        <v>65</v>
      </c>
      <c r="H289" s="136">
        <v>1092</v>
      </c>
      <c r="I289" s="72"/>
      <c r="J289" s="102"/>
      <c r="K289" s="131"/>
      <c r="L289" s="173"/>
    </row>
    <row r="290" ht="45" customHeight="1" spans="1:12">
      <c r="A290" s="174" t="s">
        <v>1138</v>
      </c>
      <c r="B290" s="137" t="s">
        <v>49</v>
      </c>
      <c r="C290" s="101" t="s">
        <v>2116</v>
      </c>
      <c r="D290" s="87" t="s">
        <v>2117</v>
      </c>
      <c r="E290" s="102" t="s">
        <v>132</v>
      </c>
      <c r="F290" s="128">
        <v>0</v>
      </c>
      <c r="G290" s="72" t="s">
        <v>65</v>
      </c>
      <c r="H290" s="136">
        <v>840</v>
      </c>
      <c r="I290" s="72"/>
      <c r="J290" s="102"/>
      <c r="K290" s="131"/>
      <c r="L290" s="173"/>
    </row>
    <row r="291" ht="45" customHeight="1" spans="1:12">
      <c r="A291" s="174" t="s">
        <v>1138</v>
      </c>
      <c r="B291" s="137" t="s">
        <v>49</v>
      </c>
      <c r="C291" s="101" t="s">
        <v>2118</v>
      </c>
      <c r="D291" s="87" t="s">
        <v>2119</v>
      </c>
      <c r="E291" s="102" t="s">
        <v>132</v>
      </c>
      <c r="F291" s="128">
        <v>0</v>
      </c>
      <c r="G291" s="72" t="s">
        <v>65</v>
      </c>
      <c r="H291" s="136">
        <v>874</v>
      </c>
      <c r="I291" s="72"/>
      <c r="J291" s="177" t="s">
        <v>285</v>
      </c>
      <c r="K291" s="131"/>
      <c r="L291" s="173"/>
    </row>
    <row r="292" ht="45" customHeight="1" spans="1:12">
      <c r="A292" s="174" t="s">
        <v>1138</v>
      </c>
      <c r="B292" s="137" t="s">
        <v>49</v>
      </c>
      <c r="C292" s="101" t="s">
        <v>2120</v>
      </c>
      <c r="D292" s="87" t="s">
        <v>2121</v>
      </c>
      <c r="E292" s="102" t="s">
        <v>132</v>
      </c>
      <c r="F292" s="128">
        <v>0</v>
      </c>
      <c r="G292" s="72" t="s">
        <v>65</v>
      </c>
      <c r="H292" s="136">
        <v>994</v>
      </c>
      <c r="I292" s="72"/>
      <c r="J292" s="177"/>
      <c r="K292" s="131"/>
      <c r="L292" s="173"/>
    </row>
    <row r="293" ht="45" customHeight="1" spans="1:12">
      <c r="A293" s="174" t="s">
        <v>1138</v>
      </c>
      <c r="B293" s="137" t="s">
        <v>49</v>
      </c>
      <c r="C293" s="101" t="s">
        <v>2122</v>
      </c>
      <c r="D293" s="87" t="s">
        <v>2123</v>
      </c>
      <c r="E293" s="102" t="s">
        <v>132</v>
      </c>
      <c r="F293" s="128">
        <v>0</v>
      </c>
      <c r="G293" s="72" t="s">
        <v>65</v>
      </c>
      <c r="H293" s="136">
        <v>1302</v>
      </c>
      <c r="I293" s="72"/>
      <c r="J293" s="177"/>
      <c r="K293" s="131"/>
      <c r="L293" s="173"/>
    </row>
    <row r="294" ht="45" customHeight="1" spans="1:12">
      <c r="A294" s="174" t="s">
        <v>1138</v>
      </c>
      <c r="B294" s="137" t="s">
        <v>49</v>
      </c>
      <c r="C294" s="101" t="s">
        <v>2124</v>
      </c>
      <c r="D294" s="87" t="s">
        <v>2125</v>
      </c>
      <c r="E294" s="102" t="s">
        <v>132</v>
      </c>
      <c r="F294" s="128">
        <v>0</v>
      </c>
      <c r="G294" s="72" t="s">
        <v>65</v>
      </c>
      <c r="H294" s="136">
        <v>1904</v>
      </c>
      <c r="I294" s="72"/>
      <c r="J294" s="177"/>
      <c r="K294" s="131"/>
      <c r="L294" s="173"/>
    </row>
    <row r="295" ht="45" customHeight="1" spans="1:12">
      <c r="A295" s="174" t="s">
        <v>1138</v>
      </c>
      <c r="B295" s="137" t="s">
        <v>49</v>
      </c>
      <c r="C295" s="101" t="s">
        <v>2126</v>
      </c>
      <c r="D295" s="87" t="s">
        <v>2127</v>
      </c>
      <c r="E295" s="102" t="s">
        <v>132</v>
      </c>
      <c r="F295" s="128">
        <v>0</v>
      </c>
      <c r="G295" s="72" t="s">
        <v>65</v>
      </c>
      <c r="H295" s="136">
        <v>1904</v>
      </c>
      <c r="I295" s="114"/>
      <c r="J295" s="177"/>
      <c r="K295" s="131"/>
      <c r="L295" s="173"/>
    </row>
    <row r="296" ht="45" customHeight="1" spans="1:12">
      <c r="A296" s="174" t="s">
        <v>1138</v>
      </c>
      <c r="B296" s="137" t="s">
        <v>49</v>
      </c>
      <c r="C296" s="101" t="s">
        <v>2128</v>
      </c>
      <c r="D296" s="87" t="s">
        <v>2129</v>
      </c>
      <c r="E296" s="102" t="s">
        <v>132</v>
      </c>
      <c r="F296" s="128">
        <v>0</v>
      </c>
      <c r="G296" s="72" t="s">
        <v>65</v>
      </c>
      <c r="H296" s="136">
        <v>1680</v>
      </c>
      <c r="I296" s="114"/>
      <c r="J296" s="177"/>
      <c r="K296" s="131"/>
      <c r="L296" s="173"/>
    </row>
    <row r="297" ht="45" customHeight="1" spans="1:12">
      <c r="A297" s="174" t="s">
        <v>1138</v>
      </c>
      <c r="B297" s="137" t="s">
        <v>49</v>
      </c>
      <c r="C297" s="101" t="s">
        <v>2130</v>
      </c>
      <c r="D297" s="87" t="s">
        <v>2131</v>
      </c>
      <c r="E297" s="102" t="s">
        <v>132</v>
      </c>
      <c r="F297" s="128">
        <v>0</v>
      </c>
      <c r="G297" s="72" t="s">
        <v>65</v>
      </c>
      <c r="H297" s="136">
        <v>1680</v>
      </c>
      <c r="I297" s="114"/>
      <c r="J297" s="177"/>
      <c r="K297" s="131"/>
      <c r="L297" s="173"/>
    </row>
    <row r="298" ht="45" customHeight="1" spans="1:12">
      <c r="A298" s="174" t="s">
        <v>1138</v>
      </c>
      <c r="B298" s="137" t="s">
        <v>49</v>
      </c>
      <c r="C298" s="101" t="s">
        <v>2132</v>
      </c>
      <c r="D298" s="87" t="s">
        <v>2133</v>
      </c>
      <c r="E298" s="102" t="s">
        <v>132</v>
      </c>
      <c r="F298" s="128">
        <v>0</v>
      </c>
      <c r="G298" s="72" t="s">
        <v>65</v>
      </c>
      <c r="H298" s="136">
        <v>1680</v>
      </c>
      <c r="I298" s="114"/>
      <c r="J298" s="177"/>
      <c r="K298" s="131"/>
      <c r="L298" s="173"/>
    </row>
    <row r="299" ht="45" customHeight="1" spans="1:12">
      <c r="A299" s="174" t="s">
        <v>1138</v>
      </c>
      <c r="B299" s="137" t="s">
        <v>49</v>
      </c>
      <c r="C299" s="101" t="s">
        <v>2134</v>
      </c>
      <c r="D299" s="87" t="s">
        <v>2135</v>
      </c>
      <c r="E299" s="102" t="s">
        <v>132</v>
      </c>
      <c r="F299" s="128">
        <v>0</v>
      </c>
      <c r="G299" s="72" t="s">
        <v>65</v>
      </c>
      <c r="H299" s="136">
        <v>434</v>
      </c>
      <c r="I299" s="72"/>
      <c r="J299" s="102"/>
      <c r="K299" s="95"/>
      <c r="L299" s="173"/>
    </row>
    <row r="300" ht="45" customHeight="1" spans="1:12">
      <c r="A300" s="174" t="s">
        <v>1138</v>
      </c>
      <c r="B300" s="137" t="s">
        <v>49</v>
      </c>
      <c r="C300" s="101" t="s">
        <v>2136</v>
      </c>
      <c r="D300" s="87" t="s">
        <v>2137</v>
      </c>
      <c r="E300" s="102" t="s">
        <v>132</v>
      </c>
      <c r="F300" s="128">
        <v>0</v>
      </c>
      <c r="G300" s="72" t="s">
        <v>65</v>
      </c>
      <c r="H300" s="136">
        <v>672</v>
      </c>
      <c r="I300" s="72"/>
      <c r="J300" s="102"/>
      <c r="K300" s="131"/>
      <c r="L300" s="173"/>
    </row>
    <row r="301" ht="45" customHeight="1" spans="1:12">
      <c r="A301" s="174" t="s">
        <v>1138</v>
      </c>
      <c r="B301" s="137" t="s">
        <v>49</v>
      </c>
      <c r="C301" s="101" t="s">
        <v>2138</v>
      </c>
      <c r="D301" s="87" t="s">
        <v>2139</v>
      </c>
      <c r="E301" s="102" t="s">
        <v>132</v>
      </c>
      <c r="F301" s="128">
        <v>0</v>
      </c>
      <c r="G301" s="72" t="s">
        <v>65</v>
      </c>
      <c r="H301" s="136">
        <v>1674</v>
      </c>
      <c r="I301" s="72"/>
      <c r="J301" s="102"/>
      <c r="K301" s="131"/>
      <c r="L301" s="173"/>
    </row>
    <row r="302" ht="45" customHeight="1" spans="1:12">
      <c r="A302" s="174" t="s">
        <v>1138</v>
      </c>
      <c r="B302" s="102" t="s">
        <v>49</v>
      </c>
      <c r="C302" s="101" t="s">
        <v>2140</v>
      </c>
      <c r="D302" s="87" t="s">
        <v>2141</v>
      </c>
      <c r="E302" s="102" t="s">
        <v>132</v>
      </c>
      <c r="F302" s="128">
        <v>0</v>
      </c>
      <c r="G302" s="72" t="s">
        <v>65</v>
      </c>
      <c r="H302" s="136">
        <v>1674</v>
      </c>
      <c r="I302" s="72"/>
      <c r="J302" s="102"/>
      <c r="K302" s="131"/>
      <c r="L302" s="173"/>
    </row>
    <row r="303" ht="45" customHeight="1" spans="1:12">
      <c r="A303" s="174" t="s">
        <v>1138</v>
      </c>
      <c r="B303" s="102" t="s">
        <v>49</v>
      </c>
      <c r="C303" s="101" t="s">
        <v>2142</v>
      </c>
      <c r="D303" s="87" t="s">
        <v>2143</v>
      </c>
      <c r="E303" s="102" t="s">
        <v>132</v>
      </c>
      <c r="F303" s="128">
        <v>0</v>
      </c>
      <c r="G303" s="72" t="s">
        <v>65</v>
      </c>
      <c r="H303" s="136">
        <v>700</v>
      </c>
      <c r="I303" s="72"/>
      <c r="J303" s="102"/>
      <c r="K303" s="131"/>
      <c r="L303" s="173"/>
    </row>
    <row r="304" ht="45" customHeight="1" spans="1:12">
      <c r="A304" s="174" t="s">
        <v>1138</v>
      </c>
      <c r="B304" s="102" t="s">
        <v>49</v>
      </c>
      <c r="C304" s="101" t="s">
        <v>2144</v>
      </c>
      <c r="D304" s="87" t="s">
        <v>2145</v>
      </c>
      <c r="E304" s="102" t="s">
        <v>132</v>
      </c>
      <c r="F304" s="128">
        <v>0</v>
      </c>
      <c r="G304" s="72" t="s">
        <v>65</v>
      </c>
      <c r="H304" s="136">
        <v>672</v>
      </c>
      <c r="I304" s="72"/>
      <c r="J304" s="102"/>
      <c r="K304" s="178"/>
      <c r="L304" s="173"/>
    </row>
    <row r="305" ht="45" customHeight="1" spans="1:20">
      <c r="A305" s="174" t="s">
        <v>1138</v>
      </c>
      <c r="B305" s="102" t="s">
        <v>49</v>
      </c>
      <c r="C305" s="101" t="s">
        <v>2146</v>
      </c>
      <c r="D305" s="87" t="s">
        <v>2147</v>
      </c>
      <c r="E305" s="102" t="s">
        <v>132</v>
      </c>
      <c r="F305" s="128">
        <v>0</v>
      </c>
      <c r="G305" s="72" t="s">
        <v>65</v>
      </c>
      <c r="H305" s="136">
        <v>672</v>
      </c>
      <c r="I305" s="72"/>
      <c r="J305" s="102"/>
      <c r="K305" s="131"/>
      <c r="L305" s="173"/>
    </row>
    <row r="306" ht="45" customHeight="1" spans="1:20">
      <c r="A306" s="174" t="s">
        <v>1138</v>
      </c>
      <c r="B306" s="102" t="s">
        <v>49</v>
      </c>
      <c r="C306" s="101" t="s">
        <v>2148</v>
      </c>
      <c r="D306" s="87" t="s">
        <v>2149</v>
      </c>
      <c r="E306" s="102" t="s">
        <v>132</v>
      </c>
      <c r="F306" s="128">
        <v>0</v>
      </c>
      <c r="G306" s="72" t="s">
        <v>65</v>
      </c>
      <c r="H306" s="136">
        <v>952</v>
      </c>
      <c r="I306" s="72"/>
      <c r="J306" s="102"/>
      <c r="K306" s="131"/>
      <c r="L306" s="173"/>
    </row>
    <row r="307" ht="45" customHeight="1" spans="1:20">
      <c r="A307" s="174" t="s">
        <v>1138</v>
      </c>
      <c r="B307" s="102" t="s">
        <v>49</v>
      </c>
      <c r="C307" s="101" t="s">
        <v>2150</v>
      </c>
      <c r="D307" s="87" t="s">
        <v>2151</v>
      </c>
      <c r="E307" s="102" t="s">
        <v>132</v>
      </c>
      <c r="F307" s="74">
        <v>0</v>
      </c>
      <c r="G307" s="72" t="s">
        <v>65</v>
      </c>
      <c r="H307" s="136">
        <v>1358</v>
      </c>
      <c r="I307" s="72"/>
      <c r="J307" s="102"/>
      <c r="K307" s="131"/>
      <c r="L307" s="173"/>
    </row>
    <row r="308" ht="45" customHeight="1" spans="1:20">
      <c r="A308" s="174" t="s">
        <v>1138</v>
      </c>
      <c r="B308" s="102" t="s">
        <v>49</v>
      </c>
      <c r="C308" s="101" t="s">
        <v>2152</v>
      </c>
      <c r="D308" s="87" t="s">
        <v>2153</v>
      </c>
      <c r="E308" s="102" t="s">
        <v>132</v>
      </c>
      <c r="F308" s="74">
        <v>0</v>
      </c>
      <c r="G308" s="72" t="s">
        <v>65</v>
      </c>
      <c r="H308" s="136">
        <v>2030</v>
      </c>
      <c r="I308" s="72"/>
      <c r="J308" s="102"/>
      <c r="K308" s="131"/>
      <c r="L308" s="173"/>
    </row>
    <row r="309" ht="45" customHeight="1" spans="1:20">
      <c r="A309" s="174" t="s">
        <v>1138</v>
      </c>
      <c r="B309" s="102" t="s">
        <v>49</v>
      </c>
      <c r="C309" s="101" t="s">
        <v>2154</v>
      </c>
      <c r="D309" s="87" t="s">
        <v>2155</v>
      </c>
      <c r="E309" s="102" t="s">
        <v>132</v>
      </c>
      <c r="F309" s="74">
        <v>0</v>
      </c>
      <c r="G309" s="72" t="s">
        <v>65</v>
      </c>
      <c r="H309" s="136">
        <v>2576</v>
      </c>
      <c r="I309" s="72"/>
      <c r="J309" s="102"/>
      <c r="K309" s="178"/>
      <c r="T309" s="131"/>
    </row>
    <row r="310" ht="45" customHeight="1" spans="1:20">
      <c r="A310" s="174" t="s">
        <v>1138</v>
      </c>
      <c r="B310" s="102" t="s">
        <v>49</v>
      </c>
      <c r="C310" s="101" t="s">
        <v>2156</v>
      </c>
      <c r="D310" s="87" t="s">
        <v>2157</v>
      </c>
      <c r="E310" s="102" t="s">
        <v>132</v>
      </c>
      <c r="F310" s="74">
        <v>0</v>
      </c>
      <c r="G310" s="72" t="s">
        <v>65</v>
      </c>
      <c r="H310" s="136">
        <v>2450</v>
      </c>
      <c r="I310" s="72"/>
      <c r="J310" s="102"/>
      <c r="K310" s="178"/>
      <c r="L310" s="173"/>
    </row>
    <row r="311" ht="45" customHeight="1" spans="1:20">
      <c r="A311" s="174" t="s">
        <v>1138</v>
      </c>
      <c r="B311" s="102" t="s">
        <v>49</v>
      </c>
      <c r="C311" s="101" t="s">
        <v>2158</v>
      </c>
      <c r="D311" s="87" t="s">
        <v>2159</v>
      </c>
      <c r="E311" s="102" t="s">
        <v>132</v>
      </c>
      <c r="F311" s="74">
        <v>0</v>
      </c>
      <c r="G311" s="72" t="s">
        <v>65</v>
      </c>
      <c r="H311" s="136">
        <v>1302</v>
      </c>
      <c r="I311" s="72"/>
      <c r="J311" s="102"/>
      <c r="K311" s="131"/>
      <c r="L311" s="173"/>
    </row>
    <row r="312" ht="45" customHeight="1" spans="1:20">
      <c r="A312" s="174" t="s">
        <v>1138</v>
      </c>
      <c r="B312" s="102" t="s">
        <v>49</v>
      </c>
      <c r="C312" s="101" t="s">
        <v>2160</v>
      </c>
      <c r="D312" s="87" t="s">
        <v>2159</v>
      </c>
      <c r="E312" s="102" t="s">
        <v>132</v>
      </c>
      <c r="F312" s="74">
        <v>0</v>
      </c>
      <c r="G312" s="72" t="s">
        <v>65</v>
      </c>
      <c r="H312" s="136">
        <v>1694</v>
      </c>
      <c r="I312" s="72"/>
      <c r="J312" s="102"/>
      <c r="K312" s="131"/>
      <c r="L312" s="173"/>
    </row>
    <row r="313" ht="45" customHeight="1" spans="1:20">
      <c r="A313" s="174" t="s">
        <v>1138</v>
      </c>
      <c r="B313" s="102" t="s">
        <v>49</v>
      </c>
      <c r="C313" s="101" t="s">
        <v>2161</v>
      </c>
      <c r="D313" s="87" t="s">
        <v>2162</v>
      </c>
      <c r="E313" s="102" t="s">
        <v>132</v>
      </c>
      <c r="F313" s="74">
        <v>0</v>
      </c>
      <c r="G313" s="72" t="s">
        <v>65</v>
      </c>
      <c r="H313" s="136">
        <v>2716</v>
      </c>
      <c r="I313" s="72"/>
      <c r="J313" s="102"/>
      <c r="K313" s="131"/>
      <c r="L313" s="173"/>
    </row>
    <row r="314" ht="45" customHeight="1" spans="1:20">
      <c r="A314" s="174" t="s">
        <v>1138</v>
      </c>
      <c r="B314" s="102" t="s">
        <v>49</v>
      </c>
      <c r="C314" s="101" t="s">
        <v>2163</v>
      </c>
      <c r="D314" s="87" t="s">
        <v>2164</v>
      </c>
      <c r="E314" s="102" t="s">
        <v>132</v>
      </c>
      <c r="F314" s="74">
        <v>0</v>
      </c>
      <c r="G314" s="72" t="s">
        <v>65</v>
      </c>
      <c r="H314" s="136">
        <v>1357</v>
      </c>
      <c r="I314" s="72"/>
      <c r="J314" s="177" t="s">
        <v>285</v>
      </c>
      <c r="K314" s="131"/>
      <c r="L314" s="173"/>
    </row>
    <row r="315" ht="45" customHeight="1" spans="1:20">
      <c r="A315" s="174" t="s">
        <v>1138</v>
      </c>
      <c r="B315" s="102" t="s">
        <v>49</v>
      </c>
      <c r="C315" s="101" t="s">
        <v>2165</v>
      </c>
      <c r="D315" s="87" t="s">
        <v>2166</v>
      </c>
      <c r="E315" s="102" t="s">
        <v>132</v>
      </c>
      <c r="F315" s="74">
        <v>0</v>
      </c>
      <c r="G315" s="72" t="s">
        <v>65</v>
      </c>
      <c r="H315" s="136">
        <v>1540</v>
      </c>
      <c r="I315" s="72"/>
      <c r="J315" s="177"/>
      <c r="K315" s="131"/>
      <c r="L315" s="173"/>
    </row>
    <row r="316" ht="45" customHeight="1" spans="1:20">
      <c r="A316" s="174" t="s">
        <v>1138</v>
      </c>
      <c r="B316" s="102" t="s">
        <v>49</v>
      </c>
      <c r="C316" s="101" t="s">
        <v>2167</v>
      </c>
      <c r="D316" s="87" t="s">
        <v>2168</v>
      </c>
      <c r="E316" s="102" t="s">
        <v>132</v>
      </c>
      <c r="F316" s="74">
        <v>0</v>
      </c>
      <c r="G316" s="72" t="s">
        <v>65</v>
      </c>
      <c r="H316" s="136">
        <v>2016</v>
      </c>
      <c r="I316" s="72"/>
      <c r="J316" s="177"/>
      <c r="K316" s="131"/>
      <c r="L316" s="173"/>
    </row>
    <row r="317" ht="45" customHeight="1" spans="1:20">
      <c r="A317" s="174" t="s">
        <v>1138</v>
      </c>
      <c r="B317" s="102" t="s">
        <v>49</v>
      </c>
      <c r="C317" s="101" t="s">
        <v>2169</v>
      </c>
      <c r="D317" s="87" t="s">
        <v>2170</v>
      </c>
      <c r="E317" s="102" t="s">
        <v>132</v>
      </c>
      <c r="F317" s="74">
        <v>0</v>
      </c>
      <c r="G317" s="72" t="s">
        <v>65</v>
      </c>
      <c r="H317" s="136">
        <v>2968</v>
      </c>
      <c r="I317" s="114"/>
      <c r="J317" s="177"/>
      <c r="K317" s="131"/>
      <c r="L317" s="173"/>
    </row>
    <row r="318" ht="45" customHeight="1" spans="1:20">
      <c r="A318" s="174" t="s">
        <v>1138</v>
      </c>
      <c r="B318" s="102" t="s">
        <v>49</v>
      </c>
      <c r="C318" s="101" t="s">
        <v>2171</v>
      </c>
      <c r="D318" s="87" t="s">
        <v>2172</v>
      </c>
      <c r="E318" s="102" t="s">
        <v>132</v>
      </c>
      <c r="F318" s="74">
        <v>0</v>
      </c>
      <c r="G318" s="72" t="s">
        <v>65</v>
      </c>
      <c r="H318" s="136">
        <v>2968</v>
      </c>
      <c r="I318" s="114"/>
      <c r="J318" s="177"/>
      <c r="K318" s="131"/>
      <c r="L318" s="173"/>
    </row>
    <row r="319" ht="45" customHeight="1" spans="1:20">
      <c r="A319" s="174" t="s">
        <v>1138</v>
      </c>
      <c r="B319" s="102" t="s">
        <v>49</v>
      </c>
      <c r="C319" s="101" t="s">
        <v>2173</v>
      </c>
      <c r="D319" s="87" t="s">
        <v>2174</v>
      </c>
      <c r="E319" s="102" t="s">
        <v>132</v>
      </c>
      <c r="F319" s="74">
        <v>0</v>
      </c>
      <c r="G319" s="72" t="s">
        <v>65</v>
      </c>
      <c r="H319" s="136">
        <v>2618</v>
      </c>
      <c r="I319" s="114"/>
      <c r="J319" s="177"/>
      <c r="K319" s="131"/>
      <c r="L319" s="173"/>
    </row>
    <row r="320" ht="45" customHeight="1" spans="1:20">
      <c r="A320" s="174" t="s">
        <v>1138</v>
      </c>
      <c r="B320" s="102" t="s">
        <v>49</v>
      </c>
      <c r="C320" s="101" t="s">
        <v>2175</v>
      </c>
      <c r="D320" s="87" t="s">
        <v>2176</v>
      </c>
      <c r="E320" s="102" t="s">
        <v>132</v>
      </c>
      <c r="F320" s="74">
        <v>0</v>
      </c>
      <c r="G320" s="72" t="s">
        <v>65</v>
      </c>
      <c r="H320" s="136">
        <v>2618</v>
      </c>
      <c r="I320" s="114"/>
      <c r="J320" s="177"/>
      <c r="K320" s="131"/>
      <c r="L320" s="173"/>
    </row>
    <row r="321" ht="45" customHeight="1" spans="1:12">
      <c r="A321" s="174" t="s">
        <v>1138</v>
      </c>
      <c r="B321" s="102" t="s">
        <v>49</v>
      </c>
      <c r="C321" s="101" t="s">
        <v>2177</v>
      </c>
      <c r="D321" s="87" t="s">
        <v>2178</v>
      </c>
      <c r="E321" s="102" t="s">
        <v>132</v>
      </c>
      <c r="F321" s="74">
        <v>0</v>
      </c>
      <c r="G321" s="72" t="s">
        <v>65</v>
      </c>
      <c r="H321" s="136">
        <v>2618</v>
      </c>
      <c r="I321" s="114"/>
      <c r="J321" s="177"/>
      <c r="K321" s="131"/>
      <c r="L321" s="173"/>
    </row>
    <row r="322" spans="1:12">
      <c r="L322" s="173"/>
    </row>
    <row r="323" spans="1:12">
      <c r="L323" s="173"/>
    </row>
    <row r="324" spans="1:12">
      <c r="K324" s="185"/>
    </row>
  </sheetData>
  <autoFilter xmlns:etc="http://www.wps.cn/officeDocument/2017/etCustomData" ref="A1:J328" etc:filterBottomFollowUsedRange="0">
    <extLst/>
  </autoFilter>
  <conditionalFormatting sqref="H2:H321">
    <cfRule type="cellIs" dxfId="1" priority="3" stopIfTrue="1" operator="lessThan">
      <formula>0</formula>
    </cfRule>
  </conditionalFormatting>
  <conditionalFormatting sqref="P137:P138 G235:H239 G240:G242 G243:H249">
    <cfRule type="cellIs" dxfId="1" priority="26" stopIfTrue="1" operator="lessThan">
      <formula>0</formula>
    </cfRule>
  </conditionalFormatting>
  <pageMargins left="0.75" right="0.75" top="1" bottom="1" header="0.5" footer="0.5"/>
  <pageSetup paperSize="1" scale="72" fitToHeight="9" orientation="landscape"/>
  <headerFooter alignWithMargins="0">
    <oddHeader>&amp;C&amp;"Arial,Bold"&amp;12 OmniAccess WLANWorldwide Price List - February 2015&amp;RAs of 02/09/2015]</oddHeader>
    <oddFooter>&amp;CAlcatel-Lucent - Enterprise Solutions Division - Confidential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indexed="21"/>
  </sheetPr>
  <dimension ref="A1:K3"/>
  <sheetViews>
    <sheetView workbookViewId="0">
      <pane ySplit="1" topLeftCell="A2" activePane="bottomLeft" state="frozen"/>
      <selection/>
      <selection pane="bottomLeft" activeCell="B42" sqref="B42"/>
    </sheetView>
  </sheetViews>
  <sheetFormatPr defaultColWidth="39.6637168141593" defaultRowHeight="12.75" outlineLevelRow="2"/>
  <cols>
    <col min="1" max="1" width="32" style="64" customWidth="1"/>
    <col min="2" max="2" width="20" style="64" customWidth="1"/>
    <col min="3" max="3" width="19.1681415929204" style="64" customWidth="1"/>
    <col min="4" max="4" width="67.6637168141593" style="126" customWidth="1"/>
    <col min="5" max="5" width="7.66371681415929" style="64" customWidth="1"/>
    <col min="6" max="6" width="8" style="66" customWidth="1"/>
    <col min="7" max="7" width="9.66371681415929" style="64" customWidth="1"/>
    <col min="8" max="8" width="13.1681415929204" style="64" customWidth="1"/>
    <col min="9" max="9" width="12.6637168141593" style="64" customWidth="1"/>
    <col min="10" max="10" width="8.16814159292035" style="64" customWidth="1"/>
    <col min="11" max="11" width="11.1681415929204" style="78" customWidth="1"/>
    <col min="12" max="12" width="13.1681415929204" style="78" customWidth="1"/>
    <col min="13" max="13" width="13.6637168141593" style="78" customWidth="1"/>
    <col min="14" max="14" width="14.1681415929204" style="78" customWidth="1"/>
    <col min="15" max="15" width="11.1681415929204" style="78" customWidth="1"/>
  </cols>
  <sheetData>
    <row r="1" s="63" customFormat="1" ht="13.85" spans="1:11">
      <c r="A1" s="91" t="s">
        <v>50</v>
      </c>
      <c r="B1" s="91" t="s">
        <v>51</v>
      </c>
      <c r="C1" s="91" t="s">
        <v>52</v>
      </c>
      <c r="D1" s="70" t="s">
        <v>53</v>
      </c>
      <c r="E1" s="70" t="s">
        <v>54</v>
      </c>
      <c r="F1" s="127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2179</v>
      </c>
    </row>
    <row r="2" ht="45" customHeight="1" spans="1:11">
      <c r="A2" s="72" t="s">
        <v>2180</v>
      </c>
      <c r="B2" s="120" t="s">
        <v>47</v>
      </c>
      <c r="C2" s="128" t="s">
        <v>2181</v>
      </c>
      <c r="D2" s="129" t="s">
        <v>2182</v>
      </c>
      <c r="E2" s="128" t="s">
        <v>1629</v>
      </c>
      <c r="F2" s="128">
        <v>4</v>
      </c>
      <c r="G2" s="128" t="s">
        <v>65</v>
      </c>
      <c r="H2" s="130">
        <v>125580</v>
      </c>
      <c r="I2" s="114"/>
      <c r="J2" s="131"/>
      <c r="K2" s="131"/>
    </row>
    <row r="3" ht="44" customHeight="1" spans="1:11">
      <c r="A3" s="72" t="s">
        <v>2183</v>
      </c>
      <c r="B3" s="120" t="s">
        <v>44</v>
      </c>
      <c r="C3" s="128" t="s">
        <v>2184</v>
      </c>
      <c r="D3" s="129" t="s">
        <v>2185</v>
      </c>
      <c r="E3" s="128" t="s">
        <v>1629</v>
      </c>
      <c r="F3" s="128">
        <v>4</v>
      </c>
      <c r="G3" s="128" t="s">
        <v>65</v>
      </c>
      <c r="H3" s="130">
        <v>750</v>
      </c>
      <c r="I3" s="114"/>
      <c r="J3" s="131"/>
      <c r="K3" s="131"/>
    </row>
  </sheetData>
  <autoFilter xmlns:etc="http://www.wps.cn/officeDocument/2017/etCustomData" ref="A1:J3" etc:filterBottomFollowUsedRange="0">
    <extLst/>
  </autoFilter>
  <conditionalFormatting sqref="H2:H3">
    <cfRule type="cellIs" dxfId="1" priority="2" stopIfTrue="1" operator="lessThan">
      <formula>0</formula>
    </cfRule>
  </conditionalFormatting>
  <pageMargins left="0.75" right="0.75" top="1" bottom="1" header="0.5" footer="0.5"/>
  <pageSetup paperSize="1" scale="72" fitToHeight="9" orientation="landscape"/>
  <headerFooter alignWithMargins="0">
    <oddHeader>&amp;C&amp;"Arial,Bold"&amp;12 OmniAccess WLANWorldwide Price List - February 2015&amp;RAs of 02/09/2015]</oddHeader>
    <oddFooter>&amp;CAlcatel-Lucent - Enterprise Solutions Division - Confidential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opLeftCell="A18" workbookViewId="0">
      <selection activeCell="R5" sqref="R5"/>
    </sheetView>
  </sheetViews>
  <sheetFormatPr defaultColWidth="9.16814159292035" defaultRowHeight="13.85"/>
  <cols>
    <col min="1" max="1" width="24.1681415929204" style="106" customWidth="1"/>
    <col min="2" max="2" width="17.1681415929204" style="106" customWidth="1"/>
    <col min="3" max="3" width="21.1681415929204" style="106" customWidth="1"/>
    <col min="4" max="4" width="80.6637168141593" style="107" customWidth="1"/>
    <col min="5" max="6" width="8" style="106" customWidth="1"/>
    <col min="7" max="7" width="9.66371681415929" style="106" customWidth="1"/>
    <col min="8" max="8" width="17.1681415929204" style="106" customWidth="1"/>
    <col min="9" max="9" width="8" style="106" customWidth="1"/>
    <col min="10" max="10" width="12.1681415929204" style="106" customWidth="1"/>
    <col min="11" max="252" width="9.16814159292035" style="108" customWidth="1"/>
    <col min="253" max="253" width="25.1681415929204" style="108" customWidth="1"/>
    <col min="254" max="254" width="18.6637168141593" style="108" customWidth="1"/>
    <col min="255" max="255" width="55.1681415929204" style="108" customWidth="1"/>
    <col min="256" max="257" width="8.16814159292035" style="108" customWidth="1"/>
    <col min="258" max="258" width="10.1681415929204" style="108" customWidth="1"/>
    <col min="259" max="259" width="11.6637168141593" style="108" customWidth="1"/>
    <col min="260" max="260" width="12" style="108" customWidth="1"/>
    <col min="261" max="261" width="16.6637168141593" style="108" customWidth="1"/>
    <col min="262" max="262" width="8" style="108" customWidth="1"/>
    <col min="263" max="508" width="9.16814159292035" style="108" customWidth="1"/>
    <col min="509" max="509" width="25.1681415929204" style="108" customWidth="1"/>
    <col min="510" max="510" width="18.6637168141593" style="108" customWidth="1"/>
    <col min="511" max="511" width="55.1681415929204" style="108" customWidth="1"/>
    <col min="512" max="513" width="8.16814159292035" style="108" customWidth="1"/>
    <col min="514" max="514" width="10.1681415929204" style="108" customWidth="1"/>
    <col min="515" max="515" width="11.6637168141593" style="108" customWidth="1"/>
    <col min="516" max="516" width="12" style="108" customWidth="1"/>
    <col min="517" max="517" width="16.6637168141593" style="108" customWidth="1"/>
    <col min="518" max="518" width="8" style="108" customWidth="1"/>
    <col min="519" max="764" width="9.16814159292035" style="108" customWidth="1"/>
    <col min="765" max="765" width="25.1681415929204" style="108" customWidth="1"/>
    <col min="766" max="766" width="18.6637168141593" style="108" customWidth="1"/>
    <col min="767" max="767" width="55.1681415929204" style="108" customWidth="1"/>
    <col min="768" max="769" width="8.16814159292035" style="108" customWidth="1"/>
    <col min="770" max="770" width="10.1681415929204" style="108" customWidth="1"/>
    <col min="771" max="771" width="11.6637168141593" style="108" customWidth="1"/>
    <col min="772" max="772" width="12" style="108" customWidth="1"/>
    <col min="773" max="773" width="16.6637168141593" style="108" customWidth="1"/>
    <col min="774" max="774" width="8" style="108" customWidth="1"/>
    <col min="775" max="1020" width="9.16814159292035" style="108" customWidth="1"/>
    <col min="1021" max="1021" width="25.1681415929204" style="108" customWidth="1"/>
    <col min="1022" max="1022" width="18.6637168141593" style="108" customWidth="1"/>
    <col min="1023" max="1023" width="55.1681415929204" style="108" customWidth="1"/>
    <col min="1024" max="1025" width="8.16814159292035" style="108" customWidth="1"/>
    <col min="1026" max="1026" width="10.1681415929204" style="108" customWidth="1"/>
    <col min="1027" max="1027" width="11.6637168141593" style="108" customWidth="1"/>
    <col min="1028" max="1028" width="12" style="108" customWidth="1"/>
    <col min="1029" max="1029" width="16.6637168141593" style="108" customWidth="1"/>
    <col min="1030" max="1030" width="8" style="108" customWidth="1"/>
    <col min="1031" max="1276" width="9.16814159292035" style="108" customWidth="1"/>
    <col min="1277" max="1277" width="25.1681415929204" style="108" customWidth="1"/>
    <col min="1278" max="1278" width="18.6637168141593" style="108" customWidth="1"/>
    <col min="1279" max="1279" width="55.1681415929204" style="108" customWidth="1"/>
    <col min="1280" max="1281" width="8.16814159292035" style="108" customWidth="1"/>
    <col min="1282" max="1282" width="10.1681415929204" style="108" customWidth="1"/>
    <col min="1283" max="1283" width="11.6637168141593" style="108" customWidth="1"/>
    <col min="1284" max="1284" width="12" style="108" customWidth="1"/>
    <col min="1285" max="1285" width="16.6637168141593" style="108" customWidth="1"/>
    <col min="1286" max="1286" width="8" style="108" customWidth="1"/>
    <col min="1287" max="1532" width="9.16814159292035" style="108" customWidth="1"/>
    <col min="1533" max="1533" width="25.1681415929204" style="108" customWidth="1"/>
    <col min="1534" max="1534" width="18.6637168141593" style="108" customWidth="1"/>
    <col min="1535" max="1535" width="55.1681415929204" style="108" customWidth="1"/>
    <col min="1536" max="1537" width="8.16814159292035" style="108" customWidth="1"/>
    <col min="1538" max="1538" width="10.1681415929204" style="108" customWidth="1"/>
    <col min="1539" max="1539" width="11.6637168141593" style="108" customWidth="1"/>
    <col min="1540" max="1540" width="12" style="108" customWidth="1"/>
    <col min="1541" max="1541" width="16.6637168141593" style="108" customWidth="1"/>
    <col min="1542" max="1542" width="8" style="108" customWidth="1"/>
    <col min="1543" max="1788" width="9.16814159292035" style="108" customWidth="1"/>
    <col min="1789" max="1789" width="25.1681415929204" style="108" customWidth="1"/>
    <col min="1790" max="1790" width="18.6637168141593" style="108" customWidth="1"/>
    <col min="1791" max="1791" width="55.1681415929204" style="108" customWidth="1"/>
    <col min="1792" max="1793" width="8.16814159292035" style="108" customWidth="1"/>
    <col min="1794" max="1794" width="10.1681415929204" style="108" customWidth="1"/>
    <col min="1795" max="1795" width="11.6637168141593" style="108" customWidth="1"/>
    <col min="1796" max="1796" width="12" style="108" customWidth="1"/>
    <col min="1797" max="1797" width="16.6637168141593" style="108" customWidth="1"/>
    <col min="1798" max="1798" width="8" style="108" customWidth="1"/>
    <col min="1799" max="2044" width="9.16814159292035" style="108" customWidth="1"/>
    <col min="2045" max="2045" width="25.1681415929204" style="108" customWidth="1"/>
    <col min="2046" max="2046" width="18.6637168141593" style="108" customWidth="1"/>
    <col min="2047" max="2047" width="55.1681415929204" style="108" customWidth="1"/>
    <col min="2048" max="2049" width="8.16814159292035" style="108" customWidth="1"/>
    <col min="2050" max="2050" width="10.1681415929204" style="108" customWidth="1"/>
    <col min="2051" max="2051" width="11.6637168141593" style="108" customWidth="1"/>
    <col min="2052" max="2052" width="12" style="108" customWidth="1"/>
    <col min="2053" max="2053" width="16.6637168141593" style="108" customWidth="1"/>
    <col min="2054" max="2054" width="8" style="108" customWidth="1"/>
    <col min="2055" max="2300" width="9.16814159292035" style="108" customWidth="1"/>
    <col min="2301" max="2301" width="25.1681415929204" style="108" customWidth="1"/>
    <col min="2302" max="2302" width="18.6637168141593" style="108" customWidth="1"/>
    <col min="2303" max="2303" width="55.1681415929204" style="108" customWidth="1"/>
    <col min="2304" max="2305" width="8.16814159292035" style="108" customWidth="1"/>
    <col min="2306" max="2306" width="10.1681415929204" style="108" customWidth="1"/>
    <col min="2307" max="2307" width="11.6637168141593" style="108" customWidth="1"/>
    <col min="2308" max="2308" width="12" style="108" customWidth="1"/>
    <col min="2309" max="2309" width="16.6637168141593" style="108" customWidth="1"/>
    <col min="2310" max="2310" width="8" style="108" customWidth="1"/>
    <col min="2311" max="2556" width="9.16814159292035" style="108" customWidth="1"/>
    <col min="2557" max="2557" width="25.1681415929204" style="108" customWidth="1"/>
    <col min="2558" max="2558" width="18.6637168141593" style="108" customWidth="1"/>
    <col min="2559" max="2559" width="55.1681415929204" style="108" customWidth="1"/>
    <col min="2560" max="2561" width="8.16814159292035" style="108" customWidth="1"/>
    <col min="2562" max="2562" width="10.1681415929204" style="108" customWidth="1"/>
    <col min="2563" max="2563" width="11.6637168141593" style="108" customWidth="1"/>
    <col min="2564" max="2564" width="12" style="108" customWidth="1"/>
    <col min="2565" max="2565" width="16.6637168141593" style="108" customWidth="1"/>
    <col min="2566" max="2566" width="8" style="108" customWidth="1"/>
    <col min="2567" max="2812" width="9.16814159292035" style="108" customWidth="1"/>
    <col min="2813" max="2813" width="25.1681415929204" style="108" customWidth="1"/>
    <col min="2814" max="2814" width="18.6637168141593" style="108" customWidth="1"/>
    <col min="2815" max="2815" width="55.1681415929204" style="108" customWidth="1"/>
    <col min="2816" max="2817" width="8.16814159292035" style="108" customWidth="1"/>
    <col min="2818" max="2818" width="10.1681415929204" style="108" customWidth="1"/>
    <col min="2819" max="2819" width="11.6637168141593" style="108" customWidth="1"/>
    <col min="2820" max="2820" width="12" style="108" customWidth="1"/>
    <col min="2821" max="2821" width="16.6637168141593" style="108" customWidth="1"/>
    <col min="2822" max="2822" width="8" style="108" customWidth="1"/>
    <col min="2823" max="3068" width="9.16814159292035" style="108" customWidth="1"/>
    <col min="3069" max="3069" width="25.1681415929204" style="108" customWidth="1"/>
    <col min="3070" max="3070" width="18.6637168141593" style="108" customWidth="1"/>
    <col min="3071" max="3071" width="55.1681415929204" style="108" customWidth="1"/>
    <col min="3072" max="3073" width="8.16814159292035" style="108" customWidth="1"/>
    <col min="3074" max="3074" width="10.1681415929204" style="108" customWidth="1"/>
    <col min="3075" max="3075" width="11.6637168141593" style="108" customWidth="1"/>
    <col min="3076" max="3076" width="12" style="108" customWidth="1"/>
    <col min="3077" max="3077" width="16.6637168141593" style="108" customWidth="1"/>
    <col min="3078" max="3078" width="8" style="108" customWidth="1"/>
    <col min="3079" max="3324" width="9.16814159292035" style="108" customWidth="1"/>
    <col min="3325" max="3325" width="25.1681415929204" style="108" customWidth="1"/>
    <col min="3326" max="3326" width="18.6637168141593" style="108" customWidth="1"/>
    <col min="3327" max="3327" width="55.1681415929204" style="108" customWidth="1"/>
    <col min="3328" max="3329" width="8.16814159292035" style="108" customWidth="1"/>
    <col min="3330" max="3330" width="10.1681415929204" style="108" customWidth="1"/>
    <col min="3331" max="3331" width="11.6637168141593" style="108" customWidth="1"/>
    <col min="3332" max="3332" width="12" style="108" customWidth="1"/>
    <col min="3333" max="3333" width="16.6637168141593" style="108" customWidth="1"/>
    <col min="3334" max="3334" width="8" style="108" customWidth="1"/>
    <col min="3335" max="3580" width="9.16814159292035" style="108" customWidth="1"/>
    <col min="3581" max="3581" width="25.1681415929204" style="108" customWidth="1"/>
    <col min="3582" max="3582" width="18.6637168141593" style="108" customWidth="1"/>
    <col min="3583" max="3583" width="55.1681415929204" style="108" customWidth="1"/>
    <col min="3584" max="3585" width="8.16814159292035" style="108" customWidth="1"/>
    <col min="3586" max="3586" width="10.1681415929204" style="108" customWidth="1"/>
    <col min="3587" max="3587" width="11.6637168141593" style="108" customWidth="1"/>
    <col min="3588" max="3588" width="12" style="108" customWidth="1"/>
    <col min="3589" max="3589" width="16.6637168141593" style="108" customWidth="1"/>
    <col min="3590" max="3590" width="8" style="108" customWidth="1"/>
    <col min="3591" max="3836" width="9.16814159292035" style="108" customWidth="1"/>
    <col min="3837" max="3837" width="25.1681415929204" style="108" customWidth="1"/>
    <col min="3838" max="3838" width="18.6637168141593" style="108" customWidth="1"/>
    <col min="3839" max="3839" width="55.1681415929204" style="108" customWidth="1"/>
    <col min="3840" max="3841" width="8.16814159292035" style="108" customWidth="1"/>
    <col min="3842" max="3842" width="10.1681415929204" style="108" customWidth="1"/>
    <col min="3843" max="3843" width="11.6637168141593" style="108" customWidth="1"/>
    <col min="3844" max="3844" width="12" style="108" customWidth="1"/>
    <col min="3845" max="3845" width="16.6637168141593" style="108" customWidth="1"/>
    <col min="3846" max="3846" width="8" style="108" customWidth="1"/>
    <col min="3847" max="4092" width="9.16814159292035" style="108" customWidth="1"/>
    <col min="4093" max="4093" width="25.1681415929204" style="108" customWidth="1"/>
    <col min="4094" max="4094" width="18.6637168141593" style="108" customWidth="1"/>
    <col min="4095" max="4095" width="55.1681415929204" style="108" customWidth="1"/>
    <col min="4096" max="4097" width="8.16814159292035" style="108" customWidth="1"/>
    <col min="4098" max="4098" width="10.1681415929204" style="108" customWidth="1"/>
    <col min="4099" max="4099" width="11.6637168141593" style="108" customWidth="1"/>
    <col min="4100" max="4100" width="12" style="108" customWidth="1"/>
    <col min="4101" max="4101" width="16.6637168141593" style="108" customWidth="1"/>
    <col min="4102" max="4102" width="8" style="108" customWidth="1"/>
    <col min="4103" max="4348" width="9.16814159292035" style="108" customWidth="1"/>
    <col min="4349" max="4349" width="25.1681415929204" style="108" customWidth="1"/>
    <col min="4350" max="4350" width="18.6637168141593" style="108" customWidth="1"/>
    <col min="4351" max="4351" width="55.1681415929204" style="108" customWidth="1"/>
    <col min="4352" max="4353" width="8.16814159292035" style="108" customWidth="1"/>
    <col min="4354" max="4354" width="10.1681415929204" style="108" customWidth="1"/>
    <col min="4355" max="4355" width="11.6637168141593" style="108" customWidth="1"/>
    <col min="4356" max="4356" width="12" style="108" customWidth="1"/>
    <col min="4357" max="4357" width="16.6637168141593" style="108" customWidth="1"/>
    <col min="4358" max="4358" width="8" style="108" customWidth="1"/>
    <col min="4359" max="4604" width="9.16814159292035" style="108" customWidth="1"/>
    <col min="4605" max="4605" width="25.1681415929204" style="108" customWidth="1"/>
    <col min="4606" max="4606" width="18.6637168141593" style="108" customWidth="1"/>
    <col min="4607" max="4607" width="55.1681415929204" style="108" customWidth="1"/>
    <col min="4608" max="4609" width="8.16814159292035" style="108" customWidth="1"/>
    <col min="4610" max="4610" width="10.1681415929204" style="108" customWidth="1"/>
    <col min="4611" max="4611" width="11.6637168141593" style="108" customWidth="1"/>
    <col min="4612" max="4612" width="12" style="108" customWidth="1"/>
    <col min="4613" max="4613" width="16.6637168141593" style="108" customWidth="1"/>
    <col min="4614" max="4614" width="8" style="108" customWidth="1"/>
    <col min="4615" max="4860" width="9.16814159292035" style="108" customWidth="1"/>
    <col min="4861" max="4861" width="25.1681415929204" style="108" customWidth="1"/>
    <col min="4862" max="4862" width="18.6637168141593" style="108" customWidth="1"/>
    <col min="4863" max="4863" width="55.1681415929204" style="108" customWidth="1"/>
    <col min="4864" max="4865" width="8.16814159292035" style="108" customWidth="1"/>
    <col min="4866" max="4866" width="10.1681415929204" style="108" customWidth="1"/>
    <col min="4867" max="4867" width="11.6637168141593" style="108" customWidth="1"/>
    <col min="4868" max="4868" width="12" style="108" customWidth="1"/>
    <col min="4869" max="4869" width="16.6637168141593" style="108" customWidth="1"/>
    <col min="4870" max="4870" width="8" style="108" customWidth="1"/>
    <col min="4871" max="5116" width="9.16814159292035" style="108" customWidth="1"/>
    <col min="5117" max="5117" width="25.1681415929204" style="108" customWidth="1"/>
    <col min="5118" max="5118" width="18.6637168141593" style="108" customWidth="1"/>
    <col min="5119" max="5119" width="55.1681415929204" style="108" customWidth="1"/>
    <col min="5120" max="5121" width="8.16814159292035" style="108" customWidth="1"/>
    <col min="5122" max="5122" width="10.1681415929204" style="108" customWidth="1"/>
    <col min="5123" max="5123" width="11.6637168141593" style="108" customWidth="1"/>
    <col min="5124" max="5124" width="12" style="108" customWidth="1"/>
    <col min="5125" max="5125" width="16.6637168141593" style="108" customWidth="1"/>
    <col min="5126" max="5126" width="8" style="108" customWidth="1"/>
    <col min="5127" max="5372" width="9.16814159292035" style="108" customWidth="1"/>
    <col min="5373" max="5373" width="25.1681415929204" style="108" customWidth="1"/>
    <col min="5374" max="5374" width="18.6637168141593" style="108" customWidth="1"/>
    <col min="5375" max="5375" width="55.1681415929204" style="108" customWidth="1"/>
    <col min="5376" max="5377" width="8.16814159292035" style="108" customWidth="1"/>
    <col min="5378" max="5378" width="10.1681415929204" style="108" customWidth="1"/>
    <col min="5379" max="5379" width="11.6637168141593" style="108" customWidth="1"/>
    <col min="5380" max="5380" width="12" style="108" customWidth="1"/>
    <col min="5381" max="5381" width="16.6637168141593" style="108" customWidth="1"/>
    <col min="5382" max="5382" width="8" style="108" customWidth="1"/>
    <col min="5383" max="5628" width="9.16814159292035" style="108" customWidth="1"/>
    <col min="5629" max="5629" width="25.1681415929204" style="108" customWidth="1"/>
    <col min="5630" max="5630" width="18.6637168141593" style="108" customWidth="1"/>
    <col min="5631" max="5631" width="55.1681415929204" style="108" customWidth="1"/>
    <col min="5632" max="5633" width="8.16814159292035" style="108" customWidth="1"/>
    <col min="5634" max="5634" width="10.1681415929204" style="108" customWidth="1"/>
    <col min="5635" max="5635" width="11.6637168141593" style="108" customWidth="1"/>
    <col min="5636" max="5636" width="12" style="108" customWidth="1"/>
    <col min="5637" max="5637" width="16.6637168141593" style="108" customWidth="1"/>
    <col min="5638" max="5638" width="8" style="108" customWidth="1"/>
    <col min="5639" max="5884" width="9.16814159292035" style="108" customWidth="1"/>
    <col min="5885" max="5885" width="25.1681415929204" style="108" customWidth="1"/>
    <col min="5886" max="5886" width="18.6637168141593" style="108" customWidth="1"/>
    <col min="5887" max="5887" width="55.1681415929204" style="108" customWidth="1"/>
    <col min="5888" max="5889" width="8.16814159292035" style="108" customWidth="1"/>
    <col min="5890" max="5890" width="10.1681415929204" style="108" customWidth="1"/>
    <col min="5891" max="5891" width="11.6637168141593" style="108" customWidth="1"/>
    <col min="5892" max="5892" width="12" style="108" customWidth="1"/>
    <col min="5893" max="5893" width="16.6637168141593" style="108" customWidth="1"/>
    <col min="5894" max="5894" width="8" style="108" customWidth="1"/>
    <col min="5895" max="6140" width="9.16814159292035" style="108" customWidth="1"/>
    <col min="6141" max="6141" width="25.1681415929204" style="108" customWidth="1"/>
    <col min="6142" max="6142" width="18.6637168141593" style="108" customWidth="1"/>
    <col min="6143" max="6143" width="55.1681415929204" style="108" customWidth="1"/>
    <col min="6144" max="6145" width="8.16814159292035" style="108" customWidth="1"/>
    <col min="6146" max="6146" width="10.1681415929204" style="108" customWidth="1"/>
    <col min="6147" max="6147" width="11.6637168141593" style="108" customWidth="1"/>
    <col min="6148" max="6148" width="12" style="108" customWidth="1"/>
    <col min="6149" max="6149" width="16.6637168141593" style="108" customWidth="1"/>
    <col min="6150" max="6150" width="8" style="108" customWidth="1"/>
    <col min="6151" max="6396" width="9.16814159292035" style="108" customWidth="1"/>
    <col min="6397" max="6397" width="25.1681415929204" style="108" customWidth="1"/>
    <col min="6398" max="6398" width="18.6637168141593" style="108" customWidth="1"/>
    <col min="6399" max="6399" width="55.1681415929204" style="108" customWidth="1"/>
    <col min="6400" max="6401" width="8.16814159292035" style="108" customWidth="1"/>
    <col min="6402" max="6402" width="10.1681415929204" style="108" customWidth="1"/>
    <col min="6403" max="6403" width="11.6637168141593" style="108" customWidth="1"/>
    <col min="6404" max="6404" width="12" style="108" customWidth="1"/>
    <col min="6405" max="6405" width="16.6637168141593" style="108" customWidth="1"/>
    <col min="6406" max="6406" width="8" style="108" customWidth="1"/>
    <col min="6407" max="6652" width="9.16814159292035" style="108" customWidth="1"/>
    <col min="6653" max="6653" width="25.1681415929204" style="108" customWidth="1"/>
    <col min="6654" max="6654" width="18.6637168141593" style="108" customWidth="1"/>
    <col min="6655" max="6655" width="55.1681415929204" style="108" customWidth="1"/>
    <col min="6656" max="6657" width="8.16814159292035" style="108" customWidth="1"/>
    <col min="6658" max="6658" width="10.1681415929204" style="108" customWidth="1"/>
    <col min="6659" max="6659" width="11.6637168141593" style="108" customWidth="1"/>
    <col min="6660" max="6660" width="12" style="108" customWidth="1"/>
    <col min="6661" max="6661" width="16.6637168141593" style="108" customWidth="1"/>
    <col min="6662" max="6662" width="8" style="108" customWidth="1"/>
    <col min="6663" max="6908" width="9.16814159292035" style="108" customWidth="1"/>
    <col min="6909" max="6909" width="25.1681415929204" style="108" customWidth="1"/>
    <col min="6910" max="6910" width="18.6637168141593" style="108" customWidth="1"/>
    <col min="6911" max="6911" width="55.1681415929204" style="108" customWidth="1"/>
    <col min="6912" max="6913" width="8.16814159292035" style="108" customWidth="1"/>
    <col min="6914" max="6914" width="10.1681415929204" style="108" customWidth="1"/>
    <col min="6915" max="6915" width="11.6637168141593" style="108" customWidth="1"/>
    <col min="6916" max="6916" width="12" style="108" customWidth="1"/>
    <col min="6917" max="6917" width="16.6637168141593" style="108" customWidth="1"/>
    <col min="6918" max="6918" width="8" style="108" customWidth="1"/>
    <col min="6919" max="7164" width="9.16814159292035" style="108" customWidth="1"/>
    <col min="7165" max="7165" width="25.1681415929204" style="108" customWidth="1"/>
    <col min="7166" max="7166" width="18.6637168141593" style="108" customWidth="1"/>
    <col min="7167" max="7167" width="55.1681415929204" style="108" customWidth="1"/>
    <col min="7168" max="7169" width="8.16814159292035" style="108" customWidth="1"/>
    <col min="7170" max="7170" width="10.1681415929204" style="108" customWidth="1"/>
    <col min="7171" max="7171" width="11.6637168141593" style="108" customWidth="1"/>
    <col min="7172" max="7172" width="12" style="108" customWidth="1"/>
    <col min="7173" max="7173" width="16.6637168141593" style="108" customWidth="1"/>
    <col min="7174" max="7174" width="8" style="108" customWidth="1"/>
    <col min="7175" max="7420" width="9.16814159292035" style="108" customWidth="1"/>
    <col min="7421" max="7421" width="25.1681415929204" style="108" customWidth="1"/>
    <col min="7422" max="7422" width="18.6637168141593" style="108" customWidth="1"/>
    <col min="7423" max="7423" width="55.1681415929204" style="108" customWidth="1"/>
    <col min="7424" max="7425" width="8.16814159292035" style="108" customWidth="1"/>
    <col min="7426" max="7426" width="10.1681415929204" style="108" customWidth="1"/>
    <col min="7427" max="7427" width="11.6637168141593" style="108" customWidth="1"/>
    <col min="7428" max="7428" width="12" style="108" customWidth="1"/>
    <col min="7429" max="7429" width="16.6637168141593" style="108" customWidth="1"/>
    <col min="7430" max="7430" width="8" style="108" customWidth="1"/>
    <col min="7431" max="7676" width="9.16814159292035" style="108" customWidth="1"/>
    <col min="7677" max="7677" width="25.1681415929204" style="108" customWidth="1"/>
    <col min="7678" max="7678" width="18.6637168141593" style="108" customWidth="1"/>
    <col min="7679" max="7679" width="55.1681415929204" style="108" customWidth="1"/>
    <col min="7680" max="7681" width="8.16814159292035" style="108" customWidth="1"/>
    <col min="7682" max="7682" width="10.1681415929204" style="108" customWidth="1"/>
    <col min="7683" max="7683" width="11.6637168141593" style="108" customWidth="1"/>
    <col min="7684" max="7684" width="12" style="108" customWidth="1"/>
    <col min="7685" max="7685" width="16.6637168141593" style="108" customWidth="1"/>
    <col min="7686" max="7686" width="8" style="108" customWidth="1"/>
    <col min="7687" max="7932" width="9.16814159292035" style="108" customWidth="1"/>
    <col min="7933" max="7933" width="25.1681415929204" style="108" customWidth="1"/>
    <col min="7934" max="7934" width="18.6637168141593" style="108" customWidth="1"/>
    <col min="7935" max="7935" width="55.1681415929204" style="108" customWidth="1"/>
    <col min="7936" max="7937" width="8.16814159292035" style="108" customWidth="1"/>
    <col min="7938" max="7938" width="10.1681415929204" style="108" customWidth="1"/>
    <col min="7939" max="7939" width="11.6637168141593" style="108" customWidth="1"/>
    <col min="7940" max="7940" width="12" style="108" customWidth="1"/>
    <col min="7941" max="7941" width="16.6637168141593" style="108" customWidth="1"/>
    <col min="7942" max="7942" width="8" style="108" customWidth="1"/>
    <col min="7943" max="8188" width="9.16814159292035" style="108" customWidth="1"/>
    <col min="8189" max="8189" width="25.1681415929204" style="108" customWidth="1"/>
    <col min="8190" max="8190" width="18.6637168141593" style="108" customWidth="1"/>
    <col min="8191" max="8191" width="55.1681415929204" style="108" customWidth="1"/>
    <col min="8192" max="8193" width="8.16814159292035" style="108" customWidth="1"/>
    <col min="8194" max="8194" width="10.1681415929204" style="108" customWidth="1"/>
    <col min="8195" max="8195" width="11.6637168141593" style="108" customWidth="1"/>
    <col min="8196" max="8196" width="12" style="108" customWidth="1"/>
    <col min="8197" max="8197" width="16.6637168141593" style="108" customWidth="1"/>
    <col min="8198" max="8198" width="8" style="108" customWidth="1"/>
    <col min="8199" max="8444" width="9.16814159292035" style="108" customWidth="1"/>
    <col min="8445" max="8445" width="25.1681415929204" style="108" customWidth="1"/>
    <col min="8446" max="8446" width="18.6637168141593" style="108" customWidth="1"/>
    <col min="8447" max="8447" width="55.1681415929204" style="108" customWidth="1"/>
    <col min="8448" max="8449" width="8.16814159292035" style="108" customWidth="1"/>
    <col min="8450" max="8450" width="10.1681415929204" style="108" customWidth="1"/>
    <col min="8451" max="8451" width="11.6637168141593" style="108" customWidth="1"/>
    <col min="8452" max="8452" width="12" style="108" customWidth="1"/>
    <col min="8453" max="8453" width="16.6637168141593" style="108" customWidth="1"/>
    <col min="8454" max="8454" width="8" style="108" customWidth="1"/>
    <col min="8455" max="8700" width="9.16814159292035" style="108" customWidth="1"/>
    <col min="8701" max="8701" width="25.1681415929204" style="108" customWidth="1"/>
    <col min="8702" max="8702" width="18.6637168141593" style="108" customWidth="1"/>
    <col min="8703" max="8703" width="55.1681415929204" style="108" customWidth="1"/>
    <col min="8704" max="8705" width="8.16814159292035" style="108" customWidth="1"/>
    <col min="8706" max="8706" width="10.1681415929204" style="108" customWidth="1"/>
    <col min="8707" max="8707" width="11.6637168141593" style="108" customWidth="1"/>
    <col min="8708" max="8708" width="12" style="108" customWidth="1"/>
    <col min="8709" max="8709" width="16.6637168141593" style="108" customWidth="1"/>
    <col min="8710" max="8710" width="8" style="108" customWidth="1"/>
    <col min="8711" max="8956" width="9.16814159292035" style="108" customWidth="1"/>
    <col min="8957" max="8957" width="25.1681415929204" style="108" customWidth="1"/>
    <col min="8958" max="8958" width="18.6637168141593" style="108" customWidth="1"/>
    <col min="8959" max="8959" width="55.1681415929204" style="108" customWidth="1"/>
    <col min="8960" max="8961" width="8.16814159292035" style="108" customWidth="1"/>
    <col min="8962" max="8962" width="10.1681415929204" style="108" customWidth="1"/>
    <col min="8963" max="8963" width="11.6637168141593" style="108" customWidth="1"/>
    <col min="8964" max="8964" width="12" style="108" customWidth="1"/>
    <col min="8965" max="8965" width="16.6637168141593" style="108" customWidth="1"/>
    <col min="8966" max="8966" width="8" style="108" customWidth="1"/>
    <col min="8967" max="9212" width="9.16814159292035" style="108" customWidth="1"/>
    <col min="9213" max="9213" width="25.1681415929204" style="108" customWidth="1"/>
    <col min="9214" max="9214" width="18.6637168141593" style="108" customWidth="1"/>
    <col min="9215" max="9215" width="55.1681415929204" style="108" customWidth="1"/>
    <col min="9216" max="9217" width="8.16814159292035" style="108" customWidth="1"/>
    <col min="9218" max="9218" width="10.1681415929204" style="108" customWidth="1"/>
    <col min="9219" max="9219" width="11.6637168141593" style="108" customWidth="1"/>
    <col min="9220" max="9220" width="12" style="108" customWidth="1"/>
    <col min="9221" max="9221" width="16.6637168141593" style="108" customWidth="1"/>
    <col min="9222" max="9222" width="8" style="108" customWidth="1"/>
    <col min="9223" max="9468" width="9.16814159292035" style="108" customWidth="1"/>
    <col min="9469" max="9469" width="25.1681415929204" style="108" customWidth="1"/>
    <col min="9470" max="9470" width="18.6637168141593" style="108" customWidth="1"/>
    <col min="9471" max="9471" width="55.1681415929204" style="108" customWidth="1"/>
    <col min="9472" max="9473" width="8.16814159292035" style="108" customWidth="1"/>
    <col min="9474" max="9474" width="10.1681415929204" style="108" customWidth="1"/>
    <col min="9475" max="9475" width="11.6637168141593" style="108" customWidth="1"/>
    <col min="9476" max="9476" width="12" style="108" customWidth="1"/>
    <col min="9477" max="9477" width="16.6637168141593" style="108" customWidth="1"/>
    <col min="9478" max="9478" width="8" style="108" customWidth="1"/>
    <col min="9479" max="9724" width="9.16814159292035" style="108" customWidth="1"/>
    <col min="9725" max="9725" width="25.1681415929204" style="108" customWidth="1"/>
    <col min="9726" max="9726" width="18.6637168141593" style="108" customWidth="1"/>
    <col min="9727" max="9727" width="55.1681415929204" style="108" customWidth="1"/>
    <col min="9728" max="9729" width="8.16814159292035" style="108" customWidth="1"/>
    <col min="9730" max="9730" width="10.1681415929204" style="108" customWidth="1"/>
    <col min="9731" max="9731" width="11.6637168141593" style="108" customWidth="1"/>
    <col min="9732" max="9732" width="12" style="108" customWidth="1"/>
    <col min="9733" max="9733" width="16.6637168141593" style="108" customWidth="1"/>
    <col min="9734" max="9734" width="8" style="108" customWidth="1"/>
    <col min="9735" max="9980" width="9.16814159292035" style="108" customWidth="1"/>
    <col min="9981" max="9981" width="25.1681415929204" style="108" customWidth="1"/>
    <col min="9982" max="9982" width="18.6637168141593" style="108" customWidth="1"/>
    <col min="9983" max="9983" width="55.1681415929204" style="108" customWidth="1"/>
    <col min="9984" max="9985" width="8.16814159292035" style="108" customWidth="1"/>
    <col min="9986" max="9986" width="10.1681415929204" style="108" customWidth="1"/>
    <col min="9987" max="9987" width="11.6637168141593" style="108" customWidth="1"/>
    <col min="9988" max="9988" width="12" style="108" customWidth="1"/>
    <col min="9989" max="9989" width="16.6637168141593" style="108" customWidth="1"/>
    <col min="9990" max="9990" width="8" style="108" customWidth="1"/>
    <col min="9991" max="10236" width="9.16814159292035" style="108" customWidth="1"/>
    <col min="10237" max="10237" width="25.1681415929204" style="108" customWidth="1"/>
    <col min="10238" max="10238" width="18.6637168141593" style="108" customWidth="1"/>
    <col min="10239" max="10239" width="55.1681415929204" style="108" customWidth="1"/>
    <col min="10240" max="10241" width="8.16814159292035" style="108" customWidth="1"/>
    <col min="10242" max="10242" width="10.1681415929204" style="108" customWidth="1"/>
    <col min="10243" max="10243" width="11.6637168141593" style="108" customWidth="1"/>
    <col min="10244" max="10244" width="12" style="108" customWidth="1"/>
    <col min="10245" max="10245" width="16.6637168141593" style="108" customWidth="1"/>
    <col min="10246" max="10246" width="8" style="108" customWidth="1"/>
    <col min="10247" max="10492" width="9.16814159292035" style="108" customWidth="1"/>
    <col min="10493" max="10493" width="25.1681415929204" style="108" customWidth="1"/>
    <col min="10494" max="10494" width="18.6637168141593" style="108" customWidth="1"/>
    <col min="10495" max="10495" width="55.1681415929204" style="108" customWidth="1"/>
    <col min="10496" max="10497" width="8.16814159292035" style="108" customWidth="1"/>
    <col min="10498" max="10498" width="10.1681415929204" style="108" customWidth="1"/>
    <col min="10499" max="10499" width="11.6637168141593" style="108" customWidth="1"/>
    <col min="10500" max="10500" width="12" style="108" customWidth="1"/>
    <col min="10501" max="10501" width="16.6637168141593" style="108" customWidth="1"/>
    <col min="10502" max="10502" width="8" style="108" customWidth="1"/>
    <col min="10503" max="10748" width="9.16814159292035" style="108" customWidth="1"/>
    <col min="10749" max="10749" width="25.1681415929204" style="108" customWidth="1"/>
    <col min="10750" max="10750" width="18.6637168141593" style="108" customWidth="1"/>
    <col min="10751" max="10751" width="55.1681415929204" style="108" customWidth="1"/>
    <col min="10752" max="10753" width="8.16814159292035" style="108" customWidth="1"/>
    <col min="10754" max="10754" width="10.1681415929204" style="108" customWidth="1"/>
    <col min="10755" max="10755" width="11.6637168141593" style="108" customWidth="1"/>
    <col min="10756" max="10756" width="12" style="108" customWidth="1"/>
    <col min="10757" max="10757" width="16.6637168141593" style="108" customWidth="1"/>
    <col min="10758" max="10758" width="8" style="108" customWidth="1"/>
    <col min="10759" max="11004" width="9.16814159292035" style="108" customWidth="1"/>
    <col min="11005" max="11005" width="25.1681415929204" style="108" customWidth="1"/>
    <col min="11006" max="11006" width="18.6637168141593" style="108" customWidth="1"/>
    <col min="11007" max="11007" width="55.1681415929204" style="108" customWidth="1"/>
    <col min="11008" max="11009" width="8.16814159292035" style="108" customWidth="1"/>
    <col min="11010" max="11010" width="10.1681415929204" style="108" customWidth="1"/>
    <col min="11011" max="11011" width="11.6637168141593" style="108" customWidth="1"/>
    <col min="11012" max="11012" width="12" style="108" customWidth="1"/>
    <col min="11013" max="11013" width="16.6637168141593" style="108" customWidth="1"/>
    <col min="11014" max="11014" width="8" style="108" customWidth="1"/>
    <col min="11015" max="11260" width="9.16814159292035" style="108" customWidth="1"/>
    <col min="11261" max="11261" width="25.1681415929204" style="108" customWidth="1"/>
    <col min="11262" max="11262" width="18.6637168141593" style="108" customWidth="1"/>
    <col min="11263" max="11263" width="55.1681415929204" style="108" customWidth="1"/>
    <col min="11264" max="11265" width="8.16814159292035" style="108" customWidth="1"/>
    <col min="11266" max="11266" width="10.1681415929204" style="108" customWidth="1"/>
    <col min="11267" max="11267" width="11.6637168141593" style="108" customWidth="1"/>
    <col min="11268" max="11268" width="12" style="108" customWidth="1"/>
    <col min="11269" max="11269" width="16.6637168141593" style="108" customWidth="1"/>
    <col min="11270" max="11270" width="8" style="108" customWidth="1"/>
    <col min="11271" max="11516" width="9.16814159292035" style="108" customWidth="1"/>
    <col min="11517" max="11517" width="25.1681415929204" style="108" customWidth="1"/>
    <col min="11518" max="11518" width="18.6637168141593" style="108" customWidth="1"/>
    <col min="11519" max="11519" width="55.1681415929204" style="108" customWidth="1"/>
    <col min="11520" max="11521" width="8.16814159292035" style="108" customWidth="1"/>
    <col min="11522" max="11522" width="10.1681415929204" style="108" customWidth="1"/>
    <col min="11523" max="11523" width="11.6637168141593" style="108" customWidth="1"/>
    <col min="11524" max="11524" width="12" style="108" customWidth="1"/>
    <col min="11525" max="11525" width="16.6637168141593" style="108" customWidth="1"/>
    <col min="11526" max="11526" width="8" style="108" customWidth="1"/>
    <col min="11527" max="11772" width="9.16814159292035" style="108" customWidth="1"/>
    <col min="11773" max="11773" width="25.1681415929204" style="108" customWidth="1"/>
    <col min="11774" max="11774" width="18.6637168141593" style="108" customWidth="1"/>
    <col min="11775" max="11775" width="55.1681415929204" style="108" customWidth="1"/>
    <col min="11776" max="11777" width="8.16814159292035" style="108" customWidth="1"/>
    <col min="11778" max="11778" width="10.1681415929204" style="108" customWidth="1"/>
    <col min="11779" max="11779" width="11.6637168141593" style="108" customWidth="1"/>
    <col min="11780" max="11780" width="12" style="108" customWidth="1"/>
    <col min="11781" max="11781" width="16.6637168141593" style="108" customWidth="1"/>
    <col min="11782" max="11782" width="8" style="108" customWidth="1"/>
    <col min="11783" max="12028" width="9.16814159292035" style="108" customWidth="1"/>
    <col min="12029" max="12029" width="25.1681415929204" style="108" customWidth="1"/>
    <col min="12030" max="12030" width="18.6637168141593" style="108" customWidth="1"/>
    <col min="12031" max="12031" width="55.1681415929204" style="108" customWidth="1"/>
    <col min="12032" max="12033" width="8.16814159292035" style="108" customWidth="1"/>
    <col min="12034" max="12034" width="10.1681415929204" style="108" customWidth="1"/>
    <col min="12035" max="12035" width="11.6637168141593" style="108" customWidth="1"/>
    <col min="12036" max="12036" width="12" style="108" customWidth="1"/>
    <col min="12037" max="12037" width="16.6637168141593" style="108" customWidth="1"/>
    <col min="12038" max="12038" width="8" style="108" customWidth="1"/>
    <col min="12039" max="12284" width="9.16814159292035" style="108" customWidth="1"/>
    <col min="12285" max="12285" width="25.1681415929204" style="108" customWidth="1"/>
    <col min="12286" max="12286" width="18.6637168141593" style="108" customWidth="1"/>
    <col min="12287" max="12287" width="55.1681415929204" style="108" customWidth="1"/>
    <col min="12288" max="12289" width="8.16814159292035" style="108" customWidth="1"/>
    <col min="12290" max="12290" width="10.1681415929204" style="108" customWidth="1"/>
    <col min="12291" max="12291" width="11.6637168141593" style="108" customWidth="1"/>
    <col min="12292" max="12292" width="12" style="108" customWidth="1"/>
    <col min="12293" max="12293" width="16.6637168141593" style="108" customWidth="1"/>
    <col min="12294" max="12294" width="8" style="108" customWidth="1"/>
    <col min="12295" max="12540" width="9.16814159292035" style="108" customWidth="1"/>
    <col min="12541" max="12541" width="25.1681415929204" style="108" customWidth="1"/>
    <col min="12542" max="12542" width="18.6637168141593" style="108" customWidth="1"/>
    <col min="12543" max="12543" width="55.1681415929204" style="108" customWidth="1"/>
    <col min="12544" max="12545" width="8.16814159292035" style="108" customWidth="1"/>
    <col min="12546" max="12546" width="10.1681415929204" style="108" customWidth="1"/>
    <col min="12547" max="12547" width="11.6637168141593" style="108" customWidth="1"/>
    <col min="12548" max="12548" width="12" style="108" customWidth="1"/>
    <col min="12549" max="12549" width="16.6637168141593" style="108" customWidth="1"/>
    <col min="12550" max="12550" width="8" style="108" customWidth="1"/>
    <col min="12551" max="12796" width="9.16814159292035" style="108" customWidth="1"/>
    <col min="12797" max="12797" width="25.1681415929204" style="108" customWidth="1"/>
    <col min="12798" max="12798" width="18.6637168141593" style="108" customWidth="1"/>
    <col min="12799" max="12799" width="55.1681415929204" style="108" customWidth="1"/>
    <col min="12800" max="12801" width="8.16814159292035" style="108" customWidth="1"/>
    <col min="12802" max="12802" width="10.1681415929204" style="108" customWidth="1"/>
    <col min="12803" max="12803" width="11.6637168141593" style="108" customWidth="1"/>
    <col min="12804" max="12804" width="12" style="108" customWidth="1"/>
    <col min="12805" max="12805" width="16.6637168141593" style="108" customWidth="1"/>
    <col min="12806" max="12806" width="8" style="108" customWidth="1"/>
    <col min="12807" max="13052" width="9.16814159292035" style="108" customWidth="1"/>
    <col min="13053" max="13053" width="25.1681415929204" style="108" customWidth="1"/>
    <col min="13054" max="13054" width="18.6637168141593" style="108" customWidth="1"/>
    <col min="13055" max="13055" width="55.1681415929204" style="108" customWidth="1"/>
    <col min="13056" max="13057" width="8.16814159292035" style="108" customWidth="1"/>
    <col min="13058" max="13058" width="10.1681415929204" style="108" customWidth="1"/>
    <col min="13059" max="13059" width="11.6637168141593" style="108" customWidth="1"/>
    <col min="13060" max="13060" width="12" style="108" customWidth="1"/>
    <col min="13061" max="13061" width="16.6637168141593" style="108" customWidth="1"/>
    <col min="13062" max="13062" width="8" style="108" customWidth="1"/>
    <col min="13063" max="13308" width="9.16814159292035" style="108" customWidth="1"/>
    <col min="13309" max="13309" width="25.1681415929204" style="108" customWidth="1"/>
    <col min="13310" max="13310" width="18.6637168141593" style="108" customWidth="1"/>
    <col min="13311" max="13311" width="55.1681415929204" style="108" customWidth="1"/>
    <col min="13312" max="13313" width="8.16814159292035" style="108" customWidth="1"/>
    <col min="13314" max="13314" width="10.1681415929204" style="108" customWidth="1"/>
    <col min="13315" max="13315" width="11.6637168141593" style="108" customWidth="1"/>
    <col min="13316" max="13316" width="12" style="108" customWidth="1"/>
    <col min="13317" max="13317" width="16.6637168141593" style="108" customWidth="1"/>
    <col min="13318" max="13318" width="8" style="108" customWidth="1"/>
    <col min="13319" max="13564" width="9.16814159292035" style="108" customWidth="1"/>
    <col min="13565" max="13565" width="25.1681415929204" style="108" customWidth="1"/>
    <col min="13566" max="13566" width="18.6637168141593" style="108" customWidth="1"/>
    <col min="13567" max="13567" width="55.1681415929204" style="108" customWidth="1"/>
    <col min="13568" max="13569" width="8.16814159292035" style="108" customWidth="1"/>
    <col min="13570" max="13570" width="10.1681415929204" style="108" customWidth="1"/>
    <col min="13571" max="13571" width="11.6637168141593" style="108" customWidth="1"/>
    <col min="13572" max="13572" width="12" style="108" customWidth="1"/>
    <col min="13573" max="13573" width="16.6637168141593" style="108" customWidth="1"/>
    <col min="13574" max="13574" width="8" style="108" customWidth="1"/>
    <col min="13575" max="13820" width="9.16814159292035" style="108" customWidth="1"/>
    <col min="13821" max="13821" width="25.1681415929204" style="108" customWidth="1"/>
    <col min="13822" max="13822" width="18.6637168141593" style="108" customWidth="1"/>
    <col min="13823" max="13823" width="55.1681415929204" style="108" customWidth="1"/>
    <col min="13824" max="13825" width="8.16814159292035" style="108" customWidth="1"/>
    <col min="13826" max="13826" width="10.1681415929204" style="108" customWidth="1"/>
    <col min="13827" max="13827" width="11.6637168141593" style="108" customWidth="1"/>
    <col min="13828" max="13828" width="12" style="108" customWidth="1"/>
    <col min="13829" max="13829" width="16.6637168141593" style="108" customWidth="1"/>
    <col min="13830" max="13830" width="8" style="108" customWidth="1"/>
    <col min="13831" max="14076" width="9.16814159292035" style="108" customWidth="1"/>
    <col min="14077" max="14077" width="25.1681415929204" style="108" customWidth="1"/>
    <col min="14078" max="14078" width="18.6637168141593" style="108" customWidth="1"/>
    <col min="14079" max="14079" width="55.1681415929204" style="108" customWidth="1"/>
    <col min="14080" max="14081" width="8.16814159292035" style="108" customWidth="1"/>
    <col min="14082" max="14082" width="10.1681415929204" style="108" customWidth="1"/>
    <col min="14083" max="14083" width="11.6637168141593" style="108" customWidth="1"/>
    <col min="14084" max="14084" width="12" style="108" customWidth="1"/>
    <col min="14085" max="14085" width="16.6637168141593" style="108" customWidth="1"/>
    <col min="14086" max="14086" width="8" style="108" customWidth="1"/>
    <col min="14087" max="14332" width="9.16814159292035" style="108" customWidth="1"/>
    <col min="14333" max="14333" width="25.1681415929204" style="108" customWidth="1"/>
    <col min="14334" max="14334" width="18.6637168141593" style="108" customWidth="1"/>
    <col min="14335" max="14335" width="55.1681415929204" style="108" customWidth="1"/>
    <col min="14336" max="14337" width="8.16814159292035" style="108" customWidth="1"/>
    <col min="14338" max="14338" width="10.1681415929204" style="108" customWidth="1"/>
    <col min="14339" max="14339" width="11.6637168141593" style="108" customWidth="1"/>
    <col min="14340" max="14340" width="12" style="108" customWidth="1"/>
    <col min="14341" max="14341" width="16.6637168141593" style="108" customWidth="1"/>
    <col min="14342" max="14342" width="8" style="108" customWidth="1"/>
    <col min="14343" max="14588" width="9.16814159292035" style="108" customWidth="1"/>
    <col min="14589" max="14589" width="25.1681415929204" style="108" customWidth="1"/>
    <col min="14590" max="14590" width="18.6637168141593" style="108" customWidth="1"/>
    <col min="14591" max="14591" width="55.1681415929204" style="108" customWidth="1"/>
    <col min="14592" max="14593" width="8.16814159292035" style="108" customWidth="1"/>
    <col min="14594" max="14594" width="10.1681415929204" style="108" customWidth="1"/>
    <col min="14595" max="14595" width="11.6637168141593" style="108" customWidth="1"/>
    <col min="14596" max="14596" width="12" style="108" customWidth="1"/>
    <col min="14597" max="14597" width="16.6637168141593" style="108" customWidth="1"/>
    <col min="14598" max="14598" width="8" style="108" customWidth="1"/>
    <col min="14599" max="14844" width="9.16814159292035" style="108" customWidth="1"/>
    <col min="14845" max="14845" width="25.1681415929204" style="108" customWidth="1"/>
    <col min="14846" max="14846" width="18.6637168141593" style="108" customWidth="1"/>
    <col min="14847" max="14847" width="55.1681415929204" style="108" customWidth="1"/>
    <col min="14848" max="14849" width="8.16814159292035" style="108" customWidth="1"/>
    <col min="14850" max="14850" width="10.1681415929204" style="108" customWidth="1"/>
    <col min="14851" max="14851" width="11.6637168141593" style="108" customWidth="1"/>
    <col min="14852" max="14852" width="12" style="108" customWidth="1"/>
    <col min="14853" max="14853" width="16.6637168141593" style="108" customWidth="1"/>
    <col min="14854" max="14854" width="8" style="108" customWidth="1"/>
    <col min="14855" max="15100" width="9.16814159292035" style="108" customWidth="1"/>
    <col min="15101" max="15101" width="25.1681415929204" style="108" customWidth="1"/>
    <col min="15102" max="15102" width="18.6637168141593" style="108" customWidth="1"/>
    <col min="15103" max="15103" width="55.1681415929204" style="108" customWidth="1"/>
    <col min="15104" max="15105" width="8.16814159292035" style="108" customWidth="1"/>
    <col min="15106" max="15106" width="10.1681415929204" style="108" customWidth="1"/>
    <col min="15107" max="15107" width="11.6637168141593" style="108" customWidth="1"/>
    <col min="15108" max="15108" width="12" style="108" customWidth="1"/>
    <col min="15109" max="15109" width="16.6637168141593" style="108" customWidth="1"/>
    <col min="15110" max="15110" width="8" style="108" customWidth="1"/>
    <col min="15111" max="15356" width="9.16814159292035" style="108" customWidth="1"/>
    <col min="15357" max="15357" width="25.1681415929204" style="108" customWidth="1"/>
    <col min="15358" max="15358" width="18.6637168141593" style="108" customWidth="1"/>
    <col min="15359" max="15359" width="55.1681415929204" style="108" customWidth="1"/>
    <col min="15360" max="15361" width="8.16814159292035" style="108" customWidth="1"/>
    <col min="15362" max="15362" width="10.1681415929204" style="108" customWidth="1"/>
    <col min="15363" max="15363" width="11.6637168141593" style="108" customWidth="1"/>
    <col min="15364" max="15364" width="12" style="108" customWidth="1"/>
    <col min="15365" max="15365" width="16.6637168141593" style="108" customWidth="1"/>
    <col min="15366" max="15366" width="8" style="108" customWidth="1"/>
    <col min="15367" max="15612" width="9.16814159292035" style="108" customWidth="1"/>
    <col min="15613" max="15613" width="25.1681415929204" style="108" customWidth="1"/>
    <col min="15614" max="15614" width="18.6637168141593" style="108" customWidth="1"/>
    <col min="15615" max="15615" width="55.1681415929204" style="108" customWidth="1"/>
    <col min="15616" max="15617" width="8.16814159292035" style="108" customWidth="1"/>
    <col min="15618" max="15618" width="10.1681415929204" style="108" customWidth="1"/>
    <col min="15619" max="15619" width="11.6637168141593" style="108" customWidth="1"/>
    <col min="15620" max="15620" width="12" style="108" customWidth="1"/>
    <col min="15621" max="15621" width="16.6637168141593" style="108" customWidth="1"/>
    <col min="15622" max="15622" width="8" style="108" customWidth="1"/>
    <col min="15623" max="15868" width="9.16814159292035" style="108" customWidth="1"/>
    <col min="15869" max="15869" width="25.1681415929204" style="108" customWidth="1"/>
    <col min="15870" max="15870" width="18.6637168141593" style="108" customWidth="1"/>
    <col min="15871" max="15871" width="55.1681415929204" style="108" customWidth="1"/>
    <col min="15872" max="15873" width="8.16814159292035" style="108" customWidth="1"/>
    <col min="15874" max="15874" width="10.1681415929204" style="108" customWidth="1"/>
    <col min="15875" max="15875" width="11.6637168141593" style="108" customWidth="1"/>
    <col min="15876" max="15876" width="12" style="108" customWidth="1"/>
    <col min="15877" max="15877" width="16.6637168141593" style="108" customWidth="1"/>
    <col min="15878" max="15878" width="8" style="108" customWidth="1"/>
    <col min="15879" max="16124" width="9.16814159292035" style="108" customWidth="1"/>
    <col min="16125" max="16125" width="25.1681415929204" style="108" customWidth="1"/>
    <col min="16126" max="16126" width="18.6637168141593" style="108" customWidth="1"/>
    <col min="16127" max="16127" width="55.1681415929204" style="108" customWidth="1"/>
    <col min="16128" max="16129" width="8.16814159292035" style="108" customWidth="1"/>
    <col min="16130" max="16130" width="10.1681415929204" style="108" customWidth="1"/>
    <col min="16131" max="16131" width="11.6637168141593" style="108" customWidth="1"/>
    <col min="16132" max="16132" width="12" style="108" customWidth="1"/>
    <col min="16133" max="16133" width="16.6637168141593" style="108" customWidth="1"/>
    <col min="16134" max="16134" width="8" style="108" customWidth="1"/>
    <col min="16135" max="16380" width="9.16814159292035" style="108" customWidth="1"/>
    <col min="16381" max="16384" width="9.16814159292035" style="108"/>
  </cols>
  <sheetData>
    <row r="1" s="105" customFormat="1" ht="16" customHeight="1" spans="1:11">
      <c r="A1" s="70" t="s">
        <v>50</v>
      </c>
      <c r="B1" s="70" t="s">
        <v>51</v>
      </c>
      <c r="C1" s="70" t="s">
        <v>52</v>
      </c>
      <c r="D1" s="70" t="s">
        <v>53</v>
      </c>
      <c r="E1" s="70" t="s">
        <v>54</v>
      </c>
      <c r="F1" s="70" t="s">
        <v>55</v>
      </c>
      <c r="G1" s="70" t="s">
        <v>56</v>
      </c>
      <c r="H1" s="70" t="s">
        <v>57</v>
      </c>
      <c r="I1" s="70" t="s">
        <v>58</v>
      </c>
      <c r="J1" s="70" t="s">
        <v>59</v>
      </c>
      <c r="K1" s="70" t="s">
        <v>2179</v>
      </c>
    </row>
    <row r="2" ht="60" customHeight="1" spans="1:11">
      <c r="A2" s="109" t="s">
        <v>2186</v>
      </c>
      <c r="B2" s="72" t="s">
        <v>2187</v>
      </c>
      <c r="C2" s="72" t="s">
        <v>2188</v>
      </c>
      <c r="D2" s="73" t="s">
        <v>2189</v>
      </c>
      <c r="E2" s="110" t="s">
        <v>64</v>
      </c>
      <c r="F2" s="111">
        <v>4</v>
      </c>
      <c r="G2" s="110" t="s">
        <v>69</v>
      </c>
      <c r="H2" s="112">
        <v>57500</v>
      </c>
      <c r="I2" s="113"/>
      <c r="J2" s="114"/>
      <c r="K2" s="115"/>
    </row>
    <row r="3" ht="75" customHeight="1" spans="1:11">
      <c r="A3" s="109" t="s">
        <v>2186</v>
      </c>
      <c r="B3" s="109" t="s">
        <v>2187</v>
      </c>
      <c r="C3" s="102" t="s">
        <v>2190</v>
      </c>
      <c r="D3" s="116" t="s">
        <v>2191</v>
      </c>
      <c r="E3" s="117" t="s">
        <v>64</v>
      </c>
      <c r="F3" s="111">
        <v>4</v>
      </c>
      <c r="G3" s="117" t="s">
        <v>69</v>
      </c>
      <c r="H3" s="102">
        <v>150000</v>
      </c>
      <c r="I3" s="113"/>
      <c r="J3" s="114"/>
      <c r="K3" s="115"/>
    </row>
    <row r="4" ht="75" customHeight="1" spans="1:11">
      <c r="A4" s="109" t="s">
        <v>2192</v>
      </c>
      <c r="B4" s="109" t="s">
        <v>2187</v>
      </c>
      <c r="C4" s="102" t="s">
        <v>2193</v>
      </c>
      <c r="D4" s="116" t="s">
        <v>2194</v>
      </c>
      <c r="E4" s="117" t="s">
        <v>64</v>
      </c>
      <c r="F4" s="111">
        <v>4</v>
      </c>
      <c r="G4" s="117" t="s">
        <v>69</v>
      </c>
      <c r="H4" s="102">
        <v>529000</v>
      </c>
      <c r="I4" s="113"/>
      <c r="J4" s="114"/>
      <c r="K4" s="115"/>
    </row>
    <row r="5" ht="75" customHeight="1" spans="1:11">
      <c r="A5" s="109" t="s">
        <v>2192</v>
      </c>
      <c r="B5" s="72" t="s">
        <v>2187</v>
      </c>
      <c r="C5" s="102" t="s">
        <v>2195</v>
      </c>
      <c r="D5" s="116" t="s">
        <v>2196</v>
      </c>
      <c r="E5" s="118" t="s">
        <v>64</v>
      </c>
      <c r="F5" s="111">
        <v>4</v>
      </c>
      <c r="G5" s="118" t="s">
        <v>69</v>
      </c>
      <c r="H5" s="119">
        <v>874000</v>
      </c>
      <c r="I5" s="113"/>
      <c r="J5" s="114"/>
      <c r="K5" s="115"/>
    </row>
    <row r="6" ht="15" customHeight="1" spans="1:11">
      <c r="A6" s="109" t="s">
        <v>2192</v>
      </c>
      <c r="B6" s="109" t="s">
        <v>2197</v>
      </c>
      <c r="C6" s="102" t="s">
        <v>2198</v>
      </c>
      <c r="D6" s="116" t="s">
        <v>2199</v>
      </c>
      <c r="E6" s="117" t="s">
        <v>64</v>
      </c>
      <c r="F6" s="111">
        <v>4</v>
      </c>
      <c r="G6" s="117" t="s">
        <v>69</v>
      </c>
      <c r="H6" s="102">
        <v>62100</v>
      </c>
      <c r="I6" s="113"/>
      <c r="J6" s="114"/>
      <c r="K6" s="115"/>
    </row>
    <row r="7" ht="15" customHeight="1" spans="1:11">
      <c r="A7" s="109" t="s">
        <v>2192</v>
      </c>
      <c r="B7" s="109" t="s">
        <v>2197</v>
      </c>
      <c r="C7" s="102" t="s">
        <v>2200</v>
      </c>
      <c r="D7" s="116" t="s">
        <v>2201</v>
      </c>
      <c r="E7" s="117" t="s">
        <v>64</v>
      </c>
      <c r="F7" s="111">
        <v>4</v>
      </c>
      <c r="G7" s="117" t="s">
        <v>69</v>
      </c>
      <c r="H7" s="102">
        <v>73600</v>
      </c>
      <c r="I7" s="113"/>
      <c r="J7" s="114"/>
      <c r="K7" s="115"/>
    </row>
    <row r="8" ht="15" customHeight="1" spans="1:11">
      <c r="A8" s="109" t="s">
        <v>2192</v>
      </c>
      <c r="B8" s="109" t="s">
        <v>2197</v>
      </c>
      <c r="C8" s="102" t="s">
        <v>2202</v>
      </c>
      <c r="D8" s="116" t="s">
        <v>2203</v>
      </c>
      <c r="E8" s="117" t="s">
        <v>64</v>
      </c>
      <c r="F8" s="111">
        <v>4</v>
      </c>
      <c r="G8" s="117" t="s">
        <v>69</v>
      </c>
      <c r="H8" s="102">
        <v>227720</v>
      </c>
      <c r="I8" s="113"/>
      <c r="J8" s="114"/>
      <c r="K8" s="115"/>
    </row>
    <row r="9" ht="15" customHeight="1" spans="1:11">
      <c r="A9" s="109" t="s">
        <v>2192</v>
      </c>
      <c r="B9" s="72" t="s">
        <v>2197</v>
      </c>
      <c r="C9" s="72" t="s">
        <v>2204</v>
      </c>
      <c r="D9" s="73" t="s">
        <v>2205</v>
      </c>
      <c r="E9" s="110" t="s">
        <v>64</v>
      </c>
      <c r="F9" s="111">
        <v>4</v>
      </c>
      <c r="G9" s="110" t="s">
        <v>69</v>
      </c>
      <c r="H9" s="112">
        <v>5750</v>
      </c>
      <c r="I9" s="113"/>
      <c r="J9" s="114"/>
      <c r="K9" s="115"/>
    </row>
    <row r="10" ht="15" customHeight="1" spans="1:11">
      <c r="A10" s="109" t="s">
        <v>2192</v>
      </c>
      <c r="B10" s="72" t="s">
        <v>2197</v>
      </c>
      <c r="C10" s="72" t="s">
        <v>2206</v>
      </c>
      <c r="D10" s="73" t="s">
        <v>2207</v>
      </c>
      <c r="E10" s="110" t="s">
        <v>64</v>
      </c>
      <c r="F10" s="111">
        <v>4</v>
      </c>
      <c r="G10" s="110" t="s">
        <v>69</v>
      </c>
      <c r="H10" s="112">
        <v>44850</v>
      </c>
      <c r="I10" s="113"/>
      <c r="J10" s="114"/>
      <c r="K10" s="115"/>
    </row>
    <row r="11" ht="15" customHeight="1" spans="1:11">
      <c r="A11" s="109" t="s">
        <v>2192</v>
      </c>
      <c r="B11" s="72" t="s">
        <v>2197</v>
      </c>
      <c r="C11" s="72" t="s">
        <v>2208</v>
      </c>
      <c r="D11" s="73" t="s">
        <v>2209</v>
      </c>
      <c r="E11" s="110" t="s">
        <v>64</v>
      </c>
      <c r="F11" s="111">
        <v>4</v>
      </c>
      <c r="G11" s="110" t="s">
        <v>69</v>
      </c>
      <c r="H11" s="112">
        <v>3450</v>
      </c>
      <c r="I11" s="113"/>
      <c r="J11" s="114"/>
      <c r="K11" s="115"/>
    </row>
    <row r="12" ht="15" customHeight="1" spans="1:11">
      <c r="A12" s="109" t="s">
        <v>2192</v>
      </c>
      <c r="B12" s="120" t="s">
        <v>2197</v>
      </c>
      <c r="C12" s="121" t="s">
        <v>2210</v>
      </c>
      <c r="D12" s="116" t="s">
        <v>2211</v>
      </c>
      <c r="E12" s="110" t="s">
        <v>64</v>
      </c>
      <c r="F12" s="111">
        <v>4</v>
      </c>
      <c r="G12" s="110" t="s">
        <v>69</v>
      </c>
      <c r="H12" s="112">
        <v>65550</v>
      </c>
      <c r="I12" s="113"/>
      <c r="J12" s="114"/>
      <c r="K12" s="115"/>
    </row>
    <row r="13" ht="30" customHeight="1" spans="1:11">
      <c r="A13" s="109" t="s">
        <v>2212</v>
      </c>
      <c r="B13" s="109" t="s">
        <v>44</v>
      </c>
      <c r="C13" s="72" t="s">
        <v>2213</v>
      </c>
      <c r="D13" s="73" t="s">
        <v>2214</v>
      </c>
      <c r="E13" s="122" t="s">
        <v>64</v>
      </c>
      <c r="F13" s="111">
        <v>4</v>
      </c>
      <c r="G13" s="122" t="s">
        <v>69</v>
      </c>
      <c r="H13" s="112">
        <v>24518</v>
      </c>
      <c r="I13" s="113"/>
      <c r="J13" s="114"/>
      <c r="K13" s="123"/>
    </row>
    <row r="14" ht="30" customHeight="1" spans="1:11">
      <c r="A14" s="109" t="s">
        <v>2212</v>
      </c>
      <c r="B14" s="109" t="s">
        <v>44</v>
      </c>
      <c r="C14" s="72" t="s">
        <v>2215</v>
      </c>
      <c r="D14" s="73" t="s">
        <v>2216</v>
      </c>
      <c r="E14" s="122" t="s">
        <v>64</v>
      </c>
      <c r="F14" s="111">
        <v>4</v>
      </c>
      <c r="G14" s="122" t="s">
        <v>69</v>
      </c>
      <c r="H14" s="112">
        <v>73556</v>
      </c>
      <c r="I14" s="113"/>
      <c r="J14" s="114"/>
      <c r="K14" s="115"/>
    </row>
    <row r="15" ht="30" customHeight="1" spans="1:11">
      <c r="A15" s="109" t="s">
        <v>2212</v>
      </c>
      <c r="B15" s="109" t="s">
        <v>44</v>
      </c>
      <c r="C15" s="72" t="s">
        <v>2217</v>
      </c>
      <c r="D15" s="73" t="s">
        <v>2218</v>
      </c>
      <c r="E15" s="122" t="s">
        <v>64</v>
      </c>
      <c r="F15" s="111">
        <v>4</v>
      </c>
      <c r="G15" s="122" t="s">
        <v>69</v>
      </c>
      <c r="H15" s="112">
        <v>34326</v>
      </c>
      <c r="I15" s="113"/>
      <c r="J15" s="114"/>
      <c r="K15" s="123"/>
    </row>
    <row r="16" ht="30" customHeight="1" spans="1:11">
      <c r="A16" s="109" t="s">
        <v>2212</v>
      </c>
      <c r="B16" s="109" t="s">
        <v>44</v>
      </c>
      <c r="C16" s="72" t="s">
        <v>2219</v>
      </c>
      <c r="D16" s="73" t="s">
        <v>2220</v>
      </c>
      <c r="E16" s="122" t="s">
        <v>64</v>
      </c>
      <c r="F16" s="111">
        <v>4</v>
      </c>
      <c r="G16" s="122" t="s">
        <v>69</v>
      </c>
      <c r="H16" s="112">
        <v>102980</v>
      </c>
      <c r="I16" s="113"/>
      <c r="J16" s="114"/>
      <c r="K16" s="115"/>
    </row>
    <row r="17" ht="30" customHeight="1" spans="1:11">
      <c r="A17" s="109" t="s">
        <v>2212</v>
      </c>
      <c r="B17" s="109" t="s">
        <v>44</v>
      </c>
      <c r="C17" s="102" t="s">
        <v>2221</v>
      </c>
      <c r="D17" s="116" t="s">
        <v>2222</v>
      </c>
      <c r="E17" s="122" t="s">
        <v>64</v>
      </c>
      <c r="F17" s="111">
        <v>4</v>
      </c>
      <c r="G17" s="122" t="s">
        <v>69</v>
      </c>
      <c r="H17" s="72">
        <v>24518</v>
      </c>
      <c r="I17" s="113"/>
      <c r="J17" s="114"/>
      <c r="K17" s="115"/>
    </row>
    <row r="18" ht="30" customHeight="1" spans="1:11">
      <c r="A18" s="109" t="s">
        <v>2212</v>
      </c>
      <c r="B18" s="109" t="s">
        <v>44</v>
      </c>
      <c r="C18" s="102" t="s">
        <v>2223</v>
      </c>
      <c r="D18" s="116" t="s">
        <v>2224</v>
      </c>
      <c r="E18" s="122" t="s">
        <v>64</v>
      </c>
      <c r="F18" s="111">
        <v>4</v>
      </c>
      <c r="G18" s="122" t="s">
        <v>69</v>
      </c>
      <c r="H18" s="72">
        <v>73556</v>
      </c>
      <c r="I18" s="113"/>
      <c r="J18" s="114"/>
      <c r="K18" s="115"/>
    </row>
    <row r="19" ht="30" customHeight="1" spans="1:11">
      <c r="A19" s="109" t="s">
        <v>2212</v>
      </c>
      <c r="B19" s="109" t="s">
        <v>44</v>
      </c>
      <c r="C19" s="102" t="s">
        <v>2225</v>
      </c>
      <c r="D19" s="116" t="s">
        <v>2226</v>
      </c>
      <c r="E19" s="122" t="s">
        <v>64</v>
      </c>
      <c r="F19" s="111">
        <v>4</v>
      </c>
      <c r="G19" s="122" t="s">
        <v>69</v>
      </c>
      <c r="H19" s="72">
        <v>34326</v>
      </c>
      <c r="I19" s="113"/>
      <c r="J19" s="114"/>
      <c r="K19" s="115"/>
    </row>
    <row r="20" ht="30" customHeight="1" spans="1:11">
      <c r="A20" s="109" t="s">
        <v>2212</v>
      </c>
      <c r="B20" s="109" t="s">
        <v>44</v>
      </c>
      <c r="C20" s="102" t="s">
        <v>2227</v>
      </c>
      <c r="D20" s="116" t="s">
        <v>2228</v>
      </c>
      <c r="E20" s="122" t="s">
        <v>64</v>
      </c>
      <c r="F20" s="111">
        <v>4</v>
      </c>
      <c r="G20" s="122" t="s">
        <v>69</v>
      </c>
      <c r="H20" s="72">
        <v>102980</v>
      </c>
      <c r="I20" s="113"/>
      <c r="J20" s="114"/>
      <c r="K20" s="115"/>
    </row>
    <row r="21" ht="30" customHeight="1" spans="1:11">
      <c r="A21" s="109" t="s">
        <v>2212</v>
      </c>
      <c r="B21" s="109" t="s">
        <v>44</v>
      </c>
      <c r="C21" s="102" t="s">
        <v>2229</v>
      </c>
      <c r="D21" s="116" t="s">
        <v>2230</v>
      </c>
      <c r="E21" s="122" t="s">
        <v>64</v>
      </c>
      <c r="F21" s="111">
        <v>4</v>
      </c>
      <c r="G21" s="122" t="s">
        <v>69</v>
      </c>
      <c r="H21" s="72">
        <v>38005</v>
      </c>
      <c r="I21" s="113"/>
      <c r="J21" s="114"/>
      <c r="K21" s="115"/>
    </row>
    <row r="22" ht="30" customHeight="1" spans="1:11">
      <c r="A22" s="109" t="s">
        <v>2212</v>
      </c>
      <c r="B22" s="109" t="s">
        <v>44</v>
      </c>
      <c r="C22" s="102" t="s">
        <v>2231</v>
      </c>
      <c r="D22" s="116" t="s">
        <v>2232</v>
      </c>
      <c r="E22" s="122" t="s">
        <v>64</v>
      </c>
      <c r="F22" s="111">
        <v>4</v>
      </c>
      <c r="G22" s="122" t="s">
        <v>69</v>
      </c>
      <c r="H22" s="72">
        <v>114012</v>
      </c>
      <c r="I22" s="113"/>
      <c r="J22" s="114"/>
      <c r="K22" s="115"/>
    </row>
    <row r="23" ht="30" customHeight="1" spans="1:11">
      <c r="A23" s="109" t="s">
        <v>2212</v>
      </c>
      <c r="B23" s="109" t="s">
        <v>44</v>
      </c>
      <c r="C23" s="102" t="s">
        <v>2233</v>
      </c>
      <c r="D23" s="116" t="s">
        <v>2234</v>
      </c>
      <c r="E23" s="122" t="s">
        <v>64</v>
      </c>
      <c r="F23" s="111">
        <v>4</v>
      </c>
      <c r="G23" s="122" t="s">
        <v>69</v>
      </c>
      <c r="H23" s="72">
        <v>34326</v>
      </c>
      <c r="I23" s="113"/>
      <c r="J23" s="114"/>
      <c r="K23" s="115"/>
    </row>
    <row r="24" ht="30" customHeight="1" spans="1:11">
      <c r="A24" s="109" t="s">
        <v>2212</v>
      </c>
      <c r="B24" s="109" t="s">
        <v>44</v>
      </c>
      <c r="C24" s="102" t="s">
        <v>2235</v>
      </c>
      <c r="D24" s="116" t="s">
        <v>2236</v>
      </c>
      <c r="E24" s="122" t="s">
        <v>64</v>
      </c>
      <c r="F24" s="111">
        <v>4</v>
      </c>
      <c r="G24" s="122" t="s">
        <v>69</v>
      </c>
      <c r="H24" s="72">
        <v>102980</v>
      </c>
      <c r="I24" s="113"/>
      <c r="J24" s="114"/>
      <c r="K24" s="115"/>
    </row>
    <row r="25" ht="30" customHeight="1" spans="1:11">
      <c r="A25" s="109" t="s">
        <v>2212</v>
      </c>
      <c r="B25" s="109" t="s">
        <v>44</v>
      </c>
      <c r="C25" s="102" t="s">
        <v>2237</v>
      </c>
      <c r="D25" s="116" t="s">
        <v>2238</v>
      </c>
      <c r="E25" s="122" t="s">
        <v>64</v>
      </c>
      <c r="F25" s="111">
        <v>4</v>
      </c>
      <c r="G25" s="122" t="s">
        <v>69</v>
      </c>
      <c r="H25" s="72">
        <v>38005</v>
      </c>
      <c r="I25" s="113"/>
      <c r="J25" s="114"/>
      <c r="K25" s="115"/>
    </row>
    <row r="26" ht="30" customHeight="1" spans="1:11">
      <c r="A26" s="109" t="s">
        <v>2212</v>
      </c>
      <c r="B26" s="109" t="s">
        <v>44</v>
      </c>
      <c r="C26" s="102" t="s">
        <v>2239</v>
      </c>
      <c r="D26" s="116" t="s">
        <v>2240</v>
      </c>
      <c r="E26" s="122" t="s">
        <v>64</v>
      </c>
      <c r="F26" s="111">
        <v>4</v>
      </c>
      <c r="G26" s="122" t="s">
        <v>69</v>
      </c>
      <c r="H26" s="72">
        <v>114012</v>
      </c>
      <c r="I26" s="113"/>
      <c r="J26" s="114"/>
      <c r="K26" s="115"/>
    </row>
    <row r="27" ht="30" customHeight="1" spans="1:11">
      <c r="A27" s="109" t="s">
        <v>2212</v>
      </c>
      <c r="B27" s="109" t="s">
        <v>44</v>
      </c>
      <c r="C27" s="102" t="s">
        <v>2241</v>
      </c>
      <c r="D27" s="116" t="s">
        <v>2242</v>
      </c>
      <c r="E27" s="122" t="s">
        <v>64</v>
      </c>
      <c r="F27" s="111">
        <v>4</v>
      </c>
      <c r="G27" s="122" t="s">
        <v>69</v>
      </c>
      <c r="H27" s="72">
        <v>34326</v>
      </c>
      <c r="I27" s="113"/>
      <c r="J27" s="114"/>
      <c r="K27" s="115"/>
    </row>
    <row r="28" ht="30" customHeight="1" spans="1:11">
      <c r="A28" s="109" t="s">
        <v>2212</v>
      </c>
      <c r="B28" s="109" t="s">
        <v>44</v>
      </c>
      <c r="C28" s="102" t="s">
        <v>2243</v>
      </c>
      <c r="D28" s="116" t="s">
        <v>2244</v>
      </c>
      <c r="E28" s="122" t="s">
        <v>64</v>
      </c>
      <c r="F28" s="111">
        <v>4</v>
      </c>
      <c r="G28" s="122" t="s">
        <v>69</v>
      </c>
      <c r="H28" s="72">
        <v>102980</v>
      </c>
      <c r="I28" s="113"/>
      <c r="J28" s="114"/>
      <c r="K28" s="115"/>
    </row>
    <row r="29" ht="15" customHeight="1" spans="1:11">
      <c r="A29" s="109" t="s">
        <v>2212</v>
      </c>
      <c r="B29" s="109" t="s">
        <v>44</v>
      </c>
      <c r="C29" s="124" t="s">
        <v>2245</v>
      </c>
      <c r="D29" s="116" t="s">
        <v>2246</v>
      </c>
      <c r="E29" s="122" t="s">
        <v>64</v>
      </c>
      <c r="F29" s="111">
        <v>4</v>
      </c>
      <c r="G29" s="122" t="s">
        <v>69</v>
      </c>
      <c r="H29" s="72">
        <v>20842</v>
      </c>
      <c r="I29" s="113"/>
      <c r="J29" s="114"/>
      <c r="K29" s="115"/>
    </row>
    <row r="30" ht="15" customHeight="1" spans="1:11">
      <c r="A30" s="109" t="s">
        <v>2212</v>
      </c>
      <c r="B30" s="109" t="s">
        <v>44</v>
      </c>
      <c r="C30" s="124" t="s">
        <v>2247</v>
      </c>
      <c r="D30" s="116" t="s">
        <v>2248</v>
      </c>
      <c r="E30" s="122" t="s">
        <v>64</v>
      </c>
      <c r="F30" s="111">
        <v>4</v>
      </c>
      <c r="G30" s="122" t="s">
        <v>69</v>
      </c>
      <c r="H30" s="72">
        <v>60072</v>
      </c>
      <c r="I30" s="113"/>
      <c r="J30" s="114"/>
      <c r="K30" s="115"/>
    </row>
    <row r="31" ht="15" customHeight="1" spans="1:11">
      <c r="A31" s="109" t="s">
        <v>2212</v>
      </c>
      <c r="B31" s="109" t="s">
        <v>44</v>
      </c>
      <c r="C31" s="124" t="s">
        <v>2249</v>
      </c>
      <c r="D31" s="116" t="s">
        <v>2250</v>
      </c>
      <c r="E31" s="122" t="s">
        <v>64</v>
      </c>
      <c r="F31" s="111">
        <v>4</v>
      </c>
      <c r="G31" s="122" t="s">
        <v>69</v>
      </c>
      <c r="H31" s="72">
        <v>71105</v>
      </c>
      <c r="I31" s="113"/>
      <c r="J31" s="114"/>
      <c r="K31" s="115"/>
    </row>
    <row r="32" ht="15" customHeight="1" spans="1:11">
      <c r="A32" s="109" t="s">
        <v>2212</v>
      </c>
      <c r="B32" s="109" t="s">
        <v>44</v>
      </c>
      <c r="C32" s="124" t="s">
        <v>2251</v>
      </c>
      <c r="D32" s="116" t="s">
        <v>2252</v>
      </c>
      <c r="E32" s="122" t="s">
        <v>64</v>
      </c>
      <c r="F32" s="111">
        <v>4</v>
      </c>
      <c r="G32" s="122" t="s">
        <v>69</v>
      </c>
      <c r="H32" s="72">
        <v>208410</v>
      </c>
      <c r="I32" s="113"/>
      <c r="J32" s="114"/>
      <c r="K32" s="115"/>
    </row>
    <row r="33" ht="15" customHeight="1" spans="1:11">
      <c r="A33" s="109" t="s">
        <v>2212</v>
      </c>
      <c r="B33" s="109" t="s">
        <v>44</v>
      </c>
      <c r="C33" s="124" t="s">
        <v>2253</v>
      </c>
      <c r="D33" s="116" t="s">
        <v>2254</v>
      </c>
      <c r="E33" s="122" t="s">
        <v>64</v>
      </c>
      <c r="F33" s="111">
        <v>4</v>
      </c>
      <c r="G33" s="122" t="s">
        <v>69</v>
      </c>
      <c r="H33" s="72">
        <v>24518</v>
      </c>
      <c r="I33" s="113"/>
      <c r="J33" s="114"/>
      <c r="K33" s="115"/>
    </row>
    <row r="34" ht="29" customHeight="1" spans="1:11">
      <c r="A34" s="109" t="s">
        <v>2212</v>
      </c>
      <c r="B34" s="109" t="s">
        <v>44</v>
      </c>
      <c r="C34" s="124" t="s">
        <v>2255</v>
      </c>
      <c r="D34" s="116" t="s">
        <v>2256</v>
      </c>
      <c r="E34" s="122" t="s">
        <v>64</v>
      </c>
      <c r="F34" s="111">
        <v>4</v>
      </c>
      <c r="G34" s="122" t="s">
        <v>69</v>
      </c>
      <c r="H34" s="72">
        <v>58846</v>
      </c>
      <c r="I34" s="113"/>
      <c r="J34" s="114"/>
      <c r="K34" s="115"/>
    </row>
    <row r="35" ht="15" customHeight="1" spans="1:11">
      <c r="A35" s="109" t="s">
        <v>2212</v>
      </c>
      <c r="B35" s="72" t="s">
        <v>44</v>
      </c>
      <c r="C35" s="125" t="s">
        <v>2257</v>
      </c>
      <c r="D35" s="116" t="s">
        <v>2258</v>
      </c>
      <c r="E35" s="110" t="s">
        <v>64</v>
      </c>
      <c r="F35" s="111">
        <v>4</v>
      </c>
      <c r="G35" s="110" t="s">
        <v>69</v>
      </c>
      <c r="H35" s="112">
        <v>40840</v>
      </c>
      <c r="I35" s="113"/>
      <c r="J35" s="114"/>
      <c r="K35" s="115"/>
    </row>
    <row r="36" ht="15" customHeight="1" spans="1:11">
      <c r="A36" s="109" t="s">
        <v>2212</v>
      </c>
      <c r="B36" s="72" t="s">
        <v>44</v>
      </c>
      <c r="C36" s="125" t="s">
        <v>2259</v>
      </c>
      <c r="D36" s="116" t="s">
        <v>2260</v>
      </c>
      <c r="E36" s="110" t="s">
        <v>64</v>
      </c>
      <c r="F36" s="111">
        <v>4</v>
      </c>
      <c r="G36" s="110" t="s">
        <v>69</v>
      </c>
      <c r="H36" s="112">
        <v>63010</v>
      </c>
      <c r="I36" s="113"/>
      <c r="J36" s="114"/>
      <c r="K36" s="115"/>
    </row>
    <row r="37" ht="15" customHeight="1" spans="1:11">
      <c r="A37" s="109" t="s">
        <v>2212</v>
      </c>
      <c r="B37" s="120" t="s">
        <v>44</v>
      </c>
      <c r="C37" s="72" t="s">
        <v>2261</v>
      </c>
      <c r="D37" s="73" t="s">
        <v>2262</v>
      </c>
      <c r="E37" s="110" t="s">
        <v>64</v>
      </c>
      <c r="F37" s="111">
        <v>4</v>
      </c>
      <c r="G37" s="110" t="s">
        <v>69</v>
      </c>
      <c r="H37" s="112">
        <v>0</v>
      </c>
      <c r="I37" s="113"/>
      <c r="J37" s="114"/>
      <c r="K37" s="115"/>
    </row>
    <row r="38" ht="15" customHeight="1" spans="1:11">
      <c r="A38" s="109" t="s">
        <v>2212</v>
      </c>
      <c r="B38" s="72" t="s">
        <v>44</v>
      </c>
      <c r="C38" s="72" t="s">
        <v>2263</v>
      </c>
      <c r="D38" s="73" t="s">
        <v>2264</v>
      </c>
      <c r="E38" s="110" t="s">
        <v>64</v>
      </c>
      <c r="F38" s="111">
        <v>4</v>
      </c>
      <c r="G38" s="110" t="s">
        <v>69</v>
      </c>
      <c r="H38" s="112">
        <v>367780</v>
      </c>
      <c r="I38" s="113"/>
      <c r="J38" s="114"/>
      <c r="K38" s="115"/>
    </row>
    <row r="39" ht="15" customHeight="1" spans="1:11">
      <c r="A39" s="109" t="s">
        <v>2212</v>
      </c>
      <c r="B39" s="72" t="s">
        <v>44</v>
      </c>
      <c r="C39" s="72" t="s">
        <v>2265</v>
      </c>
      <c r="D39" s="73" t="s">
        <v>2266</v>
      </c>
      <c r="E39" s="110" t="s">
        <v>64</v>
      </c>
      <c r="F39" s="111">
        <v>4</v>
      </c>
      <c r="G39" s="110" t="s">
        <v>69</v>
      </c>
      <c r="H39" s="112">
        <v>441340</v>
      </c>
      <c r="I39" s="113"/>
      <c r="J39" s="114"/>
      <c r="K39" s="115"/>
    </row>
    <row r="40" ht="15" customHeight="1" spans="1:11">
      <c r="A40" s="109" t="s">
        <v>2212</v>
      </c>
      <c r="B40" s="72" t="s">
        <v>44</v>
      </c>
      <c r="C40" s="72" t="s">
        <v>2267</v>
      </c>
      <c r="D40" s="73" t="s">
        <v>2268</v>
      </c>
      <c r="E40" s="110" t="s">
        <v>64</v>
      </c>
      <c r="F40" s="111">
        <v>4</v>
      </c>
      <c r="G40" s="110" t="s">
        <v>69</v>
      </c>
      <c r="H40" s="112">
        <v>612970</v>
      </c>
      <c r="I40" s="113"/>
      <c r="J40" s="114"/>
      <c r="K40" s="115"/>
    </row>
    <row r="41" ht="15" customHeight="1" spans="1:11">
      <c r="A41" s="109" t="s">
        <v>2212</v>
      </c>
      <c r="B41" s="72" t="s">
        <v>44</v>
      </c>
      <c r="C41" s="72" t="s">
        <v>2269</v>
      </c>
      <c r="D41" s="73" t="s">
        <v>2270</v>
      </c>
      <c r="E41" s="110" t="s">
        <v>64</v>
      </c>
      <c r="F41" s="111">
        <v>4</v>
      </c>
      <c r="G41" s="110" t="s">
        <v>69</v>
      </c>
      <c r="H41" s="112">
        <v>858160</v>
      </c>
      <c r="I41" s="113"/>
      <c r="J41" s="114"/>
      <c r="K41" s="115"/>
    </row>
    <row r="42" ht="15" customHeight="1" spans="1:11">
      <c r="A42" s="109" t="s">
        <v>2212</v>
      </c>
      <c r="B42" s="72" t="s">
        <v>44</v>
      </c>
      <c r="C42" s="72" t="s">
        <v>2271</v>
      </c>
      <c r="D42" s="73" t="s">
        <v>2272</v>
      </c>
      <c r="E42" s="110" t="s">
        <v>64</v>
      </c>
      <c r="F42" s="111">
        <v>4</v>
      </c>
      <c r="G42" s="110" t="s">
        <v>69</v>
      </c>
      <c r="H42" s="112">
        <v>1348540</v>
      </c>
      <c r="I42" s="113"/>
      <c r="J42" s="114"/>
      <c r="K42" s="115"/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indexed="20"/>
  </sheetPr>
  <dimension ref="A1:K178"/>
  <sheetViews>
    <sheetView workbookViewId="0">
      <pane xSplit="1" ySplit="1" topLeftCell="B114" activePane="bottomRight" state="frozen"/>
      <selection/>
      <selection pane="topRight"/>
      <selection pane="bottomLeft"/>
      <selection pane="bottomRight" activeCell="P30" sqref="P30"/>
    </sheetView>
  </sheetViews>
  <sheetFormatPr defaultColWidth="8.66371681415929" defaultRowHeight="12.75"/>
  <cols>
    <col min="1" max="1" width="22" style="64" customWidth="1"/>
    <col min="2" max="2" width="15.1681415929204" style="64" customWidth="1"/>
    <col min="3" max="3" width="18.6637168141593" style="64" customWidth="1"/>
    <col min="4" max="4" width="74.1681415929203" style="97" customWidth="1"/>
    <col min="5" max="5" width="10.1681415929204" style="64" customWidth="1"/>
    <col min="6" max="6" width="9.66371681415929" style="66" customWidth="1"/>
    <col min="7" max="7" width="15.6637168141593" style="64" customWidth="1"/>
    <col min="8" max="8" width="13.6637168141593" style="89" customWidth="1"/>
    <col min="9" max="9" width="15.6637168141593" style="64" customWidth="1"/>
    <col min="10" max="10" width="11.1681415929204" style="64" customWidth="1"/>
    <col min="11" max="11" width="8.66371681415929" style="98" customWidth="1"/>
  </cols>
  <sheetData>
    <row r="1" s="63" customFormat="1" ht="24" customHeight="1" spans="1:11">
      <c r="A1" s="90" t="s">
        <v>2273</v>
      </c>
      <c r="B1" s="91" t="s">
        <v>51</v>
      </c>
      <c r="C1" s="90" t="s">
        <v>52</v>
      </c>
      <c r="D1" s="90" t="s">
        <v>53</v>
      </c>
      <c r="E1" s="69" t="s">
        <v>54</v>
      </c>
      <c r="F1" s="71" t="s">
        <v>55</v>
      </c>
      <c r="G1" s="69" t="s">
        <v>56</v>
      </c>
      <c r="H1" s="92" t="s">
        <v>57</v>
      </c>
      <c r="I1" s="69" t="s">
        <v>58</v>
      </c>
      <c r="J1" s="70" t="s">
        <v>59</v>
      </c>
      <c r="K1" s="70" t="s">
        <v>60</v>
      </c>
    </row>
    <row r="2" ht="89.25" customHeight="1" spans="1:11">
      <c r="A2" s="99" t="s">
        <v>2274</v>
      </c>
      <c r="B2" s="72" t="s">
        <v>44</v>
      </c>
      <c r="C2" s="72" t="s">
        <v>2275</v>
      </c>
      <c r="D2" s="73" t="s">
        <v>2276</v>
      </c>
      <c r="E2" s="72" t="s">
        <v>441</v>
      </c>
      <c r="F2" s="74">
        <v>5</v>
      </c>
      <c r="G2" s="72" t="s">
        <v>65</v>
      </c>
      <c r="H2" s="72">
        <v>0</v>
      </c>
      <c r="I2" s="94"/>
      <c r="J2" s="72"/>
      <c r="K2" s="100"/>
    </row>
    <row r="3" ht="45" customHeight="1" spans="1:11">
      <c r="A3" s="99" t="s">
        <v>2277</v>
      </c>
      <c r="B3" s="72" t="s">
        <v>44</v>
      </c>
      <c r="C3" s="72" t="s">
        <v>2278</v>
      </c>
      <c r="D3" s="73" t="s">
        <v>2279</v>
      </c>
      <c r="E3" s="72" t="s">
        <v>441</v>
      </c>
      <c r="F3" s="74">
        <v>5</v>
      </c>
      <c r="G3" s="72" t="s">
        <v>65</v>
      </c>
      <c r="H3" s="72">
        <v>179400</v>
      </c>
      <c r="I3" s="94"/>
      <c r="J3" s="72"/>
      <c r="K3" s="100"/>
    </row>
    <row r="4" ht="75" customHeight="1" spans="1:11">
      <c r="A4" s="99" t="s">
        <v>2274</v>
      </c>
      <c r="B4" s="72" t="s">
        <v>44</v>
      </c>
      <c r="C4" s="72" t="s">
        <v>2280</v>
      </c>
      <c r="D4" s="73" t="s">
        <v>2281</v>
      </c>
      <c r="E4" s="72" t="s">
        <v>441</v>
      </c>
      <c r="F4" s="74">
        <v>5</v>
      </c>
      <c r="G4" s="72" t="s">
        <v>65</v>
      </c>
      <c r="H4" s="72">
        <v>59202</v>
      </c>
      <c r="I4" s="94"/>
      <c r="J4" s="72"/>
      <c r="K4" s="100"/>
    </row>
    <row r="5" ht="75" customHeight="1" spans="1:11">
      <c r="A5" s="99" t="s">
        <v>2274</v>
      </c>
      <c r="B5" s="72" t="s">
        <v>44</v>
      </c>
      <c r="C5" s="72" t="s">
        <v>2282</v>
      </c>
      <c r="D5" s="73" t="s">
        <v>2283</v>
      </c>
      <c r="E5" s="72" t="s">
        <v>441</v>
      </c>
      <c r="F5" s="74">
        <v>5</v>
      </c>
      <c r="G5" s="72" t="s">
        <v>65</v>
      </c>
      <c r="H5" s="72">
        <v>98670</v>
      </c>
      <c r="I5" s="94"/>
      <c r="J5" s="72"/>
      <c r="K5" s="100"/>
    </row>
    <row r="6" ht="75" customHeight="1" spans="1:11">
      <c r="A6" s="99" t="s">
        <v>2274</v>
      </c>
      <c r="B6" s="72" t="s">
        <v>44</v>
      </c>
      <c r="C6" s="72" t="s">
        <v>2284</v>
      </c>
      <c r="D6" s="73" t="s">
        <v>2285</v>
      </c>
      <c r="E6" s="72" t="s">
        <v>441</v>
      </c>
      <c r="F6" s="74">
        <v>5</v>
      </c>
      <c r="G6" s="72" t="s">
        <v>65</v>
      </c>
      <c r="H6" s="72">
        <v>197340</v>
      </c>
      <c r="I6" s="94"/>
      <c r="J6" s="72"/>
      <c r="K6" s="100"/>
    </row>
    <row r="7" ht="75" customHeight="1" spans="1:11">
      <c r="A7" s="99" t="s">
        <v>2274</v>
      </c>
      <c r="B7" s="72" t="s">
        <v>44</v>
      </c>
      <c r="C7" s="72" t="s">
        <v>2286</v>
      </c>
      <c r="D7" s="73" t="s">
        <v>2287</v>
      </c>
      <c r="E7" s="72" t="s">
        <v>441</v>
      </c>
      <c r="F7" s="74">
        <v>5</v>
      </c>
      <c r="G7" s="72" t="s">
        <v>65</v>
      </c>
      <c r="H7" s="72">
        <v>296010</v>
      </c>
      <c r="I7" s="94"/>
      <c r="J7" s="72"/>
      <c r="K7" s="100"/>
    </row>
    <row r="8" ht="75" customHeight="1" spans="1:11">
      <c r="A8" s="99" t="s">
        <v>2274</v>
      </c>
      <c r="B8" s="72" t="s">
        <v>44</v>
      </c>
      <c r="C8" s="72" t="s">
        <v>2288</v>
      </c>
      <c r="D8" s="73" t="s">
        <v>2289</v>
      </c>
      <c r="E8" s="72" t="s">
        <v>441</v>
      </c>
      <c r="F8" s="74">
        <v>5</v>
      </c>
      <c r="G8" s="72" t="s">
        <v>65</v>
      </c>
      <c r="H8" s="72">
        <v>986700</v>
      </c>
      <c r="I8" s="94"/>
      <c r="J8" s="72"/>
      <c r="K8" s="100"/>
    </row>
    <row r="9" ht="75" customHeight="1" spans="1:11">
      <c r="A9" s="99" t="s">
        <v>2274</v>
      </c>
      <c r="B9" s="72" t="s">
        <v>44</v>
      </c>
      <c r="C9" s="72" t="s">
        <v>2290</v>
      </c>
      <c r="D9" s="73" t="s">
        <v>2291</v>
      </c>
      <c r="E9" s="72" t="s">
        <v>441</v>
      </c>
      <c r="F9" s="74">
        <v>5</v>
      </c>
      <c r="G9" s="72" t="s">
        <v>65</v>
      </c>
      <c r="H9" s="72">
        <v>1578720</v>
      </c>
      <c r="I9" s="94"/>
      <c r="J9" s="72"/>
      <c r="K9" s="100"/>
    </row>
    <row r="10" ht="60" customHeight="1" spans="1:11">
      <c r="A10" s="99" t="s">
        <v>2292</v>
      </c>
      <c r="B10" s="72" t="s">
        <v>44</v>
      </c>
      <c r="C10" s="72" t="s">
        <v>2293</v>
      </c>
      <c r="D10" s="73" t="s">
        <v>2294</v>
      </c>
      <c r="E10" s="72" t="s">
        <v>441</v>
      </c>
      <c r="F10" s="74">
        <v>5</v>
      </c>
      <c r="G10" s="72" t="s">
        <v>65</v>
      </c>
      <c r="H10" s="72">
        <v>78936</v>
      </c>
      <c r="I10" s="94"/>
      <c r="J10" s="72"/>
      <c r="K10" s="100"/>
    </row>
    <row r="11" ht="60" customHeight="1" spans="1:11">
      <c r="A11" s="99" t="s">
        <v>2292</v>
      </c>
      <c r="B11" s="72" t="s">
        <v>44</v>
      </c>
      <c r="C11" s="72" t="s">
        <v>2295</v>
      </c>
      <c r="D11" s="73" t="s">
        <v>2296</v>
      </c>
      <c r="E11" s="72" t="s">
        <v>441</v>
      </c>
      <c r="F11" s="74">
        <v>5</v>
      </c>
      <c r="G11" s="72" t="s">
        <v>65</v>
      </c>
      <c r="H11" s="72">
        <v>118404</v>
      </c>
      <c r="I11" s="94"/>
      <c r="J11" s="72"/>
      <c r="K11" s="100"/>
    </row>
    <row r="12" ht="60" customHeight="1" spans="1:11">
      <c r="A12" s="99" t="s">
        <v>2292</v>
      </c>
      <c r="B12" s="72" t="s">
        <v>44</v>
      </c>
      <c r="C12" s="72" t="s">
        <v>2297</v>
      </c>
      <c r="D12" s="73" t="s">
        <v>2298</v>
      </c>
      <c r="E12" s="72" t="s">
        <v>441</v>
      </c>
      <c r="F12" s="74">
        <v>5</v>
      </c>
      <c r="G12" s="72" t="s">
        <v>65</v>
      </c>
      <c r="H12" s="72">
        <v>197340</v>
      </c>
      <c r="I12" s="94"/>
      <c r="J12" s="72"/>
      <c r="K12" s="100"/>
    </row>
    <row r="13" ht="70" customHeight="1" spans="1:11">
      <c r="A13" s="99" t="s">
        <v>2299</v>
      </c>
      <c r="B13" s="72" t="s">
        <v>44</v>
      </c>
      <c r="C13" s="72" t="s">
        <v>2300</v>
      </c>
      <c r="D13" s="73" t="s">
        <v>2301</v>
      </c>
      <c r="E13" s="72" t="s">
        <v>441</v>
      </c>
      <c r="F13" s="74">
        <v>5</v>
      </c>
      <c r="G13" s="72" t="s">
        <v>69</v>
      </c>
      <c r="H13" s="72">
        <v>8970</v>
      </c>
      <c r="I13" s="94"/>
      <c r="J13" s="72"/>
      <c r="K13" s="100"/>
    </row>
    <row r="14" ht="70" customHeight="1" spans="1:11">
      <c r="A14" s="99" t="s">
        <v>2299</v>
      </c>
      <c r="B14" s="72" t="s">
        <v>44</v>
      </c>
      <c r="C14" s="72" t="s">
        <v>2302</v>
      </c>
      <c r="D14" s="73" t="s">
        <v>2303</v>
      </c>
      <c r="E14" s="72" t="s">
        <v>441</v>
      </c>
      <c r="F14" s="74">
        <v>5</v>
      </c>
      <c r="G14" s="72" t="s">
        <v>69</v>
      </c>
      <c r="H14" s="72">
        <v>80730</v>
      </c>
      <c r="I14" s="94"/>
      <c r="J14" s="72"/>
      <c r="K14" s="100"/>
    </row>
    <row r="15" ht="70" customHeight="1" spans="1:11">
      <c r="A15" s="99" t="s">
        <v>2299</v>
      </c>
      <c r="B15" s="72" t="s">
        <v>44</v>
      </c>
      <c r="C15" s="72" t="s">
        <v>2304</v>
      </c>
      <c r="D15" s="73" t="s">
        <v>2305</v>
      </c>
      <c r="E15" s="72" t="s">
        <v>441</v>
      </c>
      <c r="F15" s="74">
        <v>5</v>
      </c>
      <c r="G15" s="72" t="s">
        <v>69</v>
      </c>
      <c r="H15" s="72">
        <v>17940</v>
      </c>
      <c r="I15" s="94"/>
      <c r="J15" s="72"/>
      <c r="K15" s="100"/>
    </row>
    <row r="16" ht="70" customHeight="1" spans="1:11">
      <c r="A16" s="99" t="s">
        <v>2299</v>
      </c>
      <c r="B16" s="72" t="s">
        <v>44</v>
      </c>
      <c r="C16" s="72" t="s">
        <v>2306</v>
      </c>
      <c r="D16" s="73" t="s">
        <v>2307</v>
      </c>
      <c r="E16" s="72" t="s">
        <v>441</v>
      </c>
      <c r="F16" s="74">
        <v>5</v>
      </c>
      <c r="G16" s="72" t="s">
        <v>69</v>
      </c>
      <c r="H16" s="72">
        <v>44850</v>
      </c>
      <c r="I16" s="94"/>
      <c r="J16" s="72"/>
      <c r="K16" s="100"/>
    </row>
    <row r="17" ht="70" customHeight="1" spans="1:11">
      <c r="A17" s="99" t="s">
        <v>2299</v>
      </c>
      <c r="B17" s="72" t="s">
        <v>44</v>
      </c>
      <c r="C17" s="72" t="s">
        <v>2308</v>
      </c>
      <c r="D17" s="73" t="s">
        <v>2309</v>
      </c>
      <c r="E17" s="72" t="s">
        <v>441</v>
      </c>
      <c r="F17" s="74">
        <v>5</v>
      </c>
      <c r="G17" s="72" t="s">
        <v>69</v>
      </c>
      <c r="H17" s="72">
        <v>358800</v>
      </c>
      <c r="I17" s="94"/>
      <c r="J17" s="72"/>
      <c r="K17" s="100"/>
    </row>
    <row r="18" ht="60" customHeight="1" spans="1:11">
      <c r="A18" s="99" t="s">
        <v>2310</v>
      </c>
      <c r="B18" s="72" t="s">
        <v>44</v>
      </c>
      <c r="C18" s="72" t="s">
        <v>2311</v>
      </c>
      <c r="D18" s="73" t="s">
        <v>2312</v>
      </c>
      <c r="E18" s="72" t="s">
        <v>441</v>
      </c>
      <c r="F18" s="74">
        <v>5</v>
      </c>
      <c r="G18" s="72" t="s">
        <v>65</v>
      </c>
      <c r="H18" s="72">
        <v>538200</v>
      </c>
      <c r="I18" s="94"/>
      <c r="J18" s="72"/>
      <c r="K18" s="100"/>
    </row>
    <row r="19" ht="45" customHeight="1" spans="1:11">
      <c r="A19" s="99" t="s">
        <v>2310</v>
      </c>
      <c r="B19" s="72" t="s">
        <v>44</v>
      </c>
      <c r="C19" s="72" t="s">
        <v>2313</v>
      </c>
      <c r="D19" s="73" t="s">
        <v>2314</v>
      </c>
      <c r="E19" s="72" t="s">
        <v>441</v>
      </c>
      <c r="F19" s="74">
        <v>5</v>
      </c>
      <c r="G19" s="72" t="s">
        <v>65</v>
      </c>
      <c r="H19" s="72">
        <v>10674</v>
      </c>
      <c r="I19" s="94"/>
      <c r="J19" s="72"/>
      <c r="K19" s="100"/>
    </row>
    <row r="20" ht="70" customHeight="1" spans="1:11">
      <c r="A20" s="99" t="s">
        <v>2299</v>
      </c>
      <c r="B20" s="72" t="s">
        <v>44</v>
      </c>
      <c r="C20" s="72" t="s">
        <v>2315</v>
      </c>
      <c r="D20" s="73" t="s">
        <v>2316</v>
      </c>
      <c r="E20" s="72" t="s">
        <v>441</v>
      </c>
      <c r="F20" s="74">
        <v>5</v>
      </c>
      <c r="G20" s="72" t="s">
        <v>69</v>
      </c>
      <c r="H20" s="72">
        <v>26910</v>
      </c>
      <c r="I20" s="94"/>
      <c r="J20" s="72"/>
      <c r="K20" s="100"/>
    </row>
    <row r="21" ht="70" customHeight="1" spans="1:11">
      <c r="A21" s="99" t="s">
        <v>2299</v>
      </c>
      <c r="B21" s="72" t="s">
        <v>44</v>
      </c>
      <c r="C21" s="72" t="s">
        <v>2317</v>
      </c>
      <c r="D21" s="73" t="s">
        <v>2318</v>
      </c>
      <c r="E21" s="72" t="s">
        <v>441</v>
      </c>
      <c r="F21" s="74">
        <v>5</v>
      </c>
      <c r="G21" s="72" t="s">
        <v>69</v>
      </c>
      <c r="H21" s="72">
        <v>179400</v>
      </c>
      <c r="I21" s="94"/>
      <c r="J21" s="72"/>
      <c r="K21" s="100"/>
    </row>
    <row r="22" ht="70" customHeight="1" spans="1:11">
      <c r="A22" s="99" t="s">
        <v>2299</v>
      </c>
      <c r="B22" s="72" t="s">
        <v>44</v>
      </c>
      <c r="C22" s="72" t="s">
        <v>2319</v>
      </c>
      <c r="D22" s="73" t="s">
        <v>2320</v>
      </c>
      <c r="E22" s="72" t="s">
        <v>441</v>
      </c>
      <c r="F22" s="74">
        <v>5</v>
      </c>
      <c r="G22" s="72" t="s">
        <v>69</v>
      </c>
      <c r="H22" s="72">
        <v>5382</v>
      </c>
      <c r="I22" s="94"/>
      <c r="J22" s="72"/>
      <c r="K22" s="100"/>
    </row>
    <row r="23" ht="70" customHeight="1" spans="1:11">
      <c r="A23" s="99" t="s">
        <v>2299</v>
      </c>
      <c r="B23" s="72" t="s">
        <v>44</v>
      </c>
      <c r="C23" s="72" t="s">
        <v>2321</v>
      </c>
      <c r="D23" s="73" t="s">
        <v>2322</v>
      </c>
      <c r="E23" s="72" t="s">
        <v>441</v>
      </c>
      <c r="F23" s="74">
        <v>5</v>
      </c>
      <c r="G23" s="72" t="s">
        <v>69</v>
      </c>
      <c r="H23" s="72">
        <v>13455</v>
      </c>
      <c r="I23" s="94"/>
      <c r="J23" s="72"/>
      <c r="K23" s="100"/>
    </row>
    <row r="24" ht="70" customHeight="1" spans="1:11">
      <c r="A24" s="99" t="s">
        <v>2299</v>
      </c>
      <c r="B24" s="72" t="s">
        <v>44</v>
      </c>
      <c r="C24" s="72" t="s">
        <v>2323</v>
      </c>
      <c r="D24" s="73" t="s">
        <v>2324</v>
      </c>
      <c r="E24" s="72" t="s">
        <v>441</v>
      </c>
      <c r="F24" s="74">
        <v>5</v>
      </c>
      <c r="G24" s="72" t="s">
        <v>69</v>
      </c>
      <c r="H24" s="72">
        <v>107640</v>
      </c>
      <c r="I24" s="94"/>
      <c r="J24" s="72"/>
      <c r="K24" s="100"/>
    </row>
    <row r="25" ht="45" customHeight="1" spans="1:11">
      <c r="A25" s="99" t="s">
        <v>2325</v>
      </c>
      <c r="B25" s="72" t="s">
        <v>44</v>
      </c>
      <c r="C25" s="72" t="s">
        <v>2326</v>
      </c>
      <c r="D25" s="73" t="s">
        <v>2327</v>
      </c>
      <c r="E25" s="72" t="s">
        <v>441</v>
      </c>
      <c r="F25" s="74">
        <v>5</v>
      </c>
      <c r="G25" s="72" t="s">
        <v>65</v>
      </c>
      <c r="H25" s="72">
        <v>717600</v>
      </c>
      <c r="I25" s="94"/>
      <c r="J25" s="72"/>
      <c r="K25" s="100"/>
    </row>
    <row r="26" ht="45" customHeight="1" spans="1:11">
      <c r="A26" s="99" t="s">
        <v>2325</v>
      </c>
      <c r="B26" s="72" t="s">
        <v>44</v>
      </c>
      <c r="C26" s="72" t="s">
        <v>2328</v>
      </c>
      <c r="D26" s="73" t="s">
        <v>2329</v>
      </c>
      <c r="E26" s="72" t="s">
        <v>441</v>
      </c>
      <c r="F26" s="74">
        <v>5</v>
      </c>
      <c r="G26" s="72" t="s">
        <v>65</v>
      </c>
      <c r="H26" s="72">
        <v>1794000</v>
      </c>
      <c r="I26" s="94"/>
      <c r="J26" s="72"/>
      <c r="K26" s="100"/>
    </row>
    <row r="27" ht="70" customHeight="1" spans="1:11">
      <c r="A27" s="99" t="s">
        <v>2299</v>
      </c>
      <c r="B27" s="72" t="s">
        <v>44</v>
      </c>
      <c r="C27" s="72" t="s">
        <v>2330</v>
      </c>
      <c r="D27" s="73" t="s">
        <v>2331</v>
      </c>
      <c r="E27" s="72" t="s">
        <v>441</v>
      </c>
      <c r="F27" s="74">
        <v>5</v>
      </c>
      <c r="G27" s="72" t="s">
        <v>69</v>
      </c>
      <c r="H27" s="72">
        <v>26910</v>
      </c>
      <c r="I27" s="94"/>
      <c r="J27" s="72"/>
      <c r="K27" s="100"/>
    </row>
    <row r="28" ht="70" customHeight="1" spans="1:11">
      <c r="A28" s="99" t="s">
        <v>2299</v>
      </c>
      <c r="B28" s="72" t="s">
        <v>44</v>
      </c>
      <c r="C28" s="72" t="s">
        <v>2332</v>
      </c>
      <c r="D28" s="73" t="s">
        <v>2333</v>
      </c>
      <c r="E28" s="72" t="s">
        <v>441</v>
      </c>
      <c r="F28" s="74">
        <v>5</v>
      </c>
      <c r="G28" s="72" t="s">
        <v>69</v>
      </c>
      <c r="H28" s="72">
        <v>179400</v>
      </c>
      <c r="I28" s="94"/>
      <c r="J28" s="72"/>
      <c r="K28" s="100"/>
    </row>
    <row r="29" ht="70" customHeight="1" spans="1:11">
      <c r="A29" s="99" t="s">
        <v>2299</v>
      </c>
      <c r="B29" s="72" t="s">
        <v>44</v>
      </c>
      <c r="C29" s="72" t="s">
        <v>2334</v>
      </c>
      <c r="D29" s="73" t="s">
        <v>2335</v>
      </c>
      <c r="E29" s="72" t="s">
        <v>441</v>
      </c>
      <c r="F29" s="74">
        <v>5</v>
      </c>
      <c r="G29" s="72" t="s">
        <v>69</v>
      </c>
      <c r="H29" s="72">
        <v>5382</v>
      </c>
      <c r="I29" s="94"/>
      <c r="J29" s="72"/>
      <c r="K29" s="100"/>
    </row>
    <row r="30" ht="70" customHeight="1" spans="1:11">
      <c r="A30" s="99" t="s">
        <v>2299</v>
      </c>
      <c r="B30" s="72" t="s">
        <v>44</v>
      </c>
      <c r="C30" s="72" t="s">
        <v>2336</v>
      </c>
      <c r="D30" s="73" t="s">
        <v>2337</v>
      </c>
      <c r="E30" s="72" t="s">
        <v>441</v>
      </c>
      <c r="F30" s="74">
        <v>5</v>
      </c>
      <c r="G30" s="72" t="s">
        <v>69</v>
      </c>
      <c r="H30" s="72">
        <v>13455</v>
      </c>
      <c r="I30" s="94"/>
      <c r="J30" s="72"/>
      <c r="K30" s="100"/>
    </row>
    <row r="31" ht="70" customHeight="1" spans="1:11">
      <c r="A31" s="99" t="s">
        <v>2299</v>
      </c>
      <c r="B31" s="72" t="s">
        <v>44</v>
      </c>
      <c r="C31" s="72" t="s">
        <v>2338</v>
      </c>
      <c r="D31" s="73" t="s">
        <v>2339</v>
      </c>
      <c r="E31" s="72" t="s">
        <v>441</v>
      </c>
      <c r="F31" s="74">
        <v>5</v>
      </c>
      <c r="G31" s="72" t="s">
        <v>69</v>
      </c>
      <c r="H31" s="72">
        <v>107640</v>
      </c>
      <c r="I31" s="94"/>
      <c r="J31" s="72"/>
      <c r="K31" s="100"/>
    </row>
    <row r="32" ht="45" customHeight="1" spans="1:11">
      <c r="A32" s="99" t="s">
        <v>2325</v>
      </c>
      <c r="B32" s="72" t="s">
        <v>44</v>
      </c>
      <c r="C32" s="72" t="s">
        <v>2340</v>
      </c>
      <c r="D32" s="73" t="s">
        <v>2341</v>
      </c>
      <c r="E32" s="72" t="s">
        <v>441</v>
      </c>
      <c r="F32" s="74">
        <v>5</v>
      </c>
      <c r="G32" s="72" t="s">
        <v>65</v>
      </c>
      <c r="H32" s="72">
        <v>538200</v>
      </c>
      <c r="I32" s="94"/>
      <c r="J32" s="72"/>
      <c r="K32" s="100"/>
    </row>
    <row r="33" ht="45" customHeight="1" spans="1:11">
      <c r="A33" s="99" t="s">
        <v>2325</v>
      </c>
      <c r="B33" s="72" t="s">
        <v>44</v>
      </c>
      <c r="C33" s="72" t="s">
        <v>2342</v>
      </c>
      <c r="D33" s="73" t="s">
        <v>2343</v>
      </c>
      <c r="E33" s="72" t="s">
        <v>441</v>
      </c>
      <c r="F33" s="74">
        <v>5</v>
      </c>
      <c r="G33" s="72" t="s">
        <v>65</v>
      </c>
      <c r="H33" s="72">
        <v>1345500</v>
      </c>
      <c r="I33" s="94"/>
      <c r="J33" s="72"/>
      <c r="K33" s="100"/>
    </row>
    <row r="34" ht="90" customHeight="1" spans="1:11">
      <c r="A34" s="99" t="s">
        <v>2344</v>
      </c>
      <c r="B34" s="72" t="s">
        <v>44</v>
      </c>
      <c r="C34" s="72" t="s">
        <v>2345</v>
      </c>
      <c r="D34" s="73" t="s">
        <v>2346</v>
      </c>
      <c r="E34" s="72" t="s">
        <v>441</v>
      </c>
      <c r="F34" s="74">
        <v>5</v>
      </c>
      <c r="G34" s="72" t="s">
        <v>65</v>
      </c>
      <c r="H34" s="72">
        <v>0</v>
      </c>
      <c r="I34" s="94"/>
      <c r="J34" s="72"/>
      <c r="K34" s="100"/>
    </row>
    <row r="35" ht="84" customHeight="1" spans="1:11">
      <c r="A35" s="99" t="s">
        <v>2344</v>
      </c>
      <c r="B35" s="72" t="s">
        <v>44</v>
      </c>
      <c r="C35" s="72" t="s">
        <v>2347</v>
      </c>
      <c r="D35" s="73" t="s">
        <v>2348</v>
      </c>
      <c r="E35" s="72" t="s">
        <v>441</v>
      </c>
      <c r="F35" s="74">
        <v>5</v>
      </c>
      <c r="G35" s="72" t="s">
        <v>65</v>
      </c>
      <c r="H35" s="72">
        <v>29601</v>
      </c>
      <c r="I35" s="94"/>
      <c r="J35" s="72"/>
      <c r="K35" s="100"/>
    </row>
    <row r="36" ht="84" customHeight="1" spans="1:11">
      <c r="A36" s="99" t="s">
        <v>2344</v>
      </c>
      <c r="B36" s="72" t="s">
        <v>44</v>
      </c>
      <c r="C36" s="72" t="s">
        <v>2349</v>
      </c>
      <c r="D36" s="73" t="s">
        <v>2350</v>
      </c>
      <c r="E36" s="72" t="s">
        <v>441</v>
      </c>
      <c r="F36" s="74">
        <v>5</v>
      </c>
      <c r="G36" s="72" t="s">
        <v>65</v>
      </c>
      <c r="H36" s="72">
        <v>49335</v>
      </c>
      <c r="I36" s="94"/>
      <c r="J36" s="72"/>
      <c r="K36" s="100"/>
    </row>
    <row r="37" ht="84" customHeight="1" spans="1:11">
      <c r="A37" s="99" t="s">
        <v>2344</v>
      </c>
      <c r="B37" s="72" t="s">
        <v>44</v>
      </c>
      <c r="C37" s="72" t="s">
        <v>2351</v>
      </c>
      <c r="D37" s="73" t="s">
        <v>2352</v>
      </c>
      <c r="E37" s="72" t="s">
        <v>441</v>
      </c>
      <c r="F37" s="74">
        <v>5</v>
      </c>
      <c r="G37" s="72" t="s">
        <v>65</v>
      </c>
      <c r="H37" s="72">
        <v>98670</v>
      </c>
      <c r="I37" s="94"/>
      <c r="J37" s="72"/>
      <c r="K37" s="100"/>
    </row>
    <row r="38" ht="84" customHeight="1" spans="1:11">
      <c r="A38" s="99" t="s">
        <v>2344</v>
      </c>
      <c r="B38" s="72" t="s">
        <v>44</v>
      </c>
      <c r="C38" s="72" t="s">
        <v>2353</v>
      </c>
      <c r="D38" s="73" t="s">
        <v>2354</v>
      </c>
      <c r="E38" s="72" t="s">
        <v>441</v>
      </c>
      <c r="F38" s="74">
        <v>5</v>
      </c>
      <c r="G38" s="72" t="s">
        <v>65</v>
      </c>
      <c r="H38" s="72">
        <v>148005</v>
      </c>
      <c r="I38" s="94"/>
      <c r="J38" s="72"/>
      <c r="K38" s="100"/>
    </row>
    <row r="39" ht="84" customHeight="1" spans="1:11">
      <c r="A39" s="99" t="s">
        <v>2344</v>
      </c>
      <c r="B39" s="72" t="s">
        <v>44</v>
      </c>
      <c r="C39" s="72" t="s">
        <v>2355</v>
      </c>
      <c r="D39" s="73" t="s">
        <v>2356</v>
      </c>
      <c r="E39" s="72" t="s">
        <v>441</v>
      </c>
      <c r="F39" s="74">
        <v>5</v>
      </c>
      <c r="G39" s="72" t="s">
        <v>65</v>
      </c>
      <c r="H39" s="72">
        <v>493350</v>
      </c>
      <c r="I39" s="94"/>
      <c r="J39" s="72"/>
      <c r="K39" s="100"/>
    </row>
    <row r="40" ht="84" customHeight="1" spans="1:11">
      <c r="A40" s="99" t="s">
        <v>2344</v>
      </c>
      <c r="B40" s="72" t="s">
        <v>44</v>
      </c>
      <c r="C40" s="72" t="s">
        <v>2357</v>
      </c>
      <c r="D40" s="73" t="s">
        <v>2358</v>
      </c>
      <c r="E40" s="72" t="s">
        <v>441</v>
      </c>
      <c r="F40" s="74">
        <v>5</v>
      </c>
      <c r="G40" s="72" t="s">
        <v>65</v>
      </c>
      <c r="H40" s="72">
        <v>789360</v>
      </c>
      <c r="I40" s="94"/>
      <c r="J40" s="72"/>
      <c r="K40" s="100"/>
    </row>
    <row r="41" ht="75" customHeight="1" spans="1:11">
      <c r="A41" s="99" t="s">
        <v>2359</v>
      </c>
      <c r="B41" s="72" t="s">
        <v>44</v>
      </c>
      <c r="C41" s="72" t="s">
        <v>2360</v>
      </c>
      <c r="D41" s="73" t="s">
        <v>2361</v>
      </c>
      <c r="E41" s="72" t="s">
        <v>441</v>
      </c>
      <c r="F41" s="74">
        <v>5</v>
      </c>
      <c r="G41" s="72" t="s">
        <v>65</v>
      </c>
      <c r="H41" s="72">
        <v>39468</v>
      </c>
      <c r="I41" s="94"/>
      <c r="J41" s="72"/>
      <c r="K41" s="100"/>
    </row>
    <row r="42" ht="75" customHeight="1" spans="1:11">
      <c r="A42" s="99" t="s">
        <v>2359</v>
      </c>
      <c r="B42" s="72" t="s">
        <v>44</v>
      </c>
      <c r="C42" s="72" t="s">
        <v>2362</v>
      </c>
      <c r="D42" s="73" t="s">
        <v>2363</v>
      </c>
      <c r="E42" s="72" t="s">
        <v>441</v>
      </c>
      <c r="F42" s="74">
        <v>5</v>
      </c>
      <c r="G42" s="72" t="s">
        <v>65</v>
      </c>
      <c r="H42" s="72">
        <v>59202</v>
      </c>
      <c r="I42" s="94"/>
      <c r="J42" s="72"/>
      <c r="K42" s="100"/>
    </row>
    <row r="43" ht="75" customHeight="1" spans="1:11">
      <c r="A43" s="99" t="s">
        <v>2359</v>
      </c>
      <c r="B43" s="72" t="s">
        <v>44</v>
      </c>
      <c r="C43" s="72" t="s">
        <v>2364</v>
      </c>
      <c r="D43" s="73" t="s">
        <v>2365</v>
      </c>
      <c r="E43" s="72" t="s">
        <v>441</v>
      </c>
      <c r="F43" s="74">
        <v>5</v>
      </c>
      <c r="G43" s="72" t="s">
        <v>65</v>
      </c>
      <c r="H43" s="72">
        <v>98670</v>
      </c>
      <c r="I43" s="94"/>
      <c r="J43" s="72"/>
      <c r="K43" s="100"/>
    </row>
    <row r="44" ht="30" customHeight="1" spans="1:11">
      <c r="A44" s="101" t="s">
        <v>1666</v>
      </c>
      <c r="B44" s="102" t="s">
        <v>49</v>
      </c>
      <c r="C44" s="72" t="s">
        <v>2366</v>
      </c>
      <c r="D44" s="73" t="s">
        <v>2367</v>
      </c>
      <c r="E44" s="72" t="s">
        <v>132</v>
      </c>
      <c r="F44" s="74">
        <v>0</v>
      </c>
      <c r="G44" s="72" t="s">
        <v>65</v>
      </c>
      <c r="H44" s="72">
        <v>8344</v>
      </c>
      <c r="I44" s="94"/>
      <c r="J44" s="72"/>
      <c r="K44" s="96"/>
    </row>
    <row r="45" ht="30" customHeight="1" spans="1:11">
      <c r="A45" s="101" t="s">
        <v>1666</v>
      </c>
      <c r="B45" s="102" t="s">
        <v>49</v>
      </c>
      <c r="C45" s="72" t="s">
        <v>2368</v>
      </c>
      <c r="D45" s="73" t="s">
        <v>2369</v>
      </c>
      <c r="E45" s="72" t="s">
        <v>132</v>
      </c>
      <c r="F45" s="74">
        <v>0</v>
      </c>
      <c r="G45" s="72" t="s">
        <v>65</v>
      </c>
      <c r="H45" s="72">
        <v>12992</v>
      </c>
      <c r="I45" s="94"/>
      <c r="J45" s="72"/>
      <c r="K45" s="96"/>
    </row>
    <row r="46" ht="30" customHeight="1" spans="1:11">
      <c r="A46" s="101" t="s">
        <v>1666</v>
      </c>
      <c r="B46" s="102" t="s">
        <v>49</v>
      </c>
      <c r="C46" s="72" t="s">
        <v>2370</v>
      </c>
      <c r="D46" s="73" t="s">
        <v>2371</v>
      </c>
      <c r="E46" s="72" t="s">
        <v>132</v>
      </c>
      <c r="F46" s="74">
        <v>0</v>
      </c>
      <c r="G46" s="72" t="s">
        <v>65</v>
      </c>
      <c r="H46" s="72">
        <v>13916</v>
      </c>
      <c r="I46" s="94"/>
      <c r="J46" s="72"/>
      <c r="K46" s="96"/>
    </row>
    <row r="47" ht="30" customHeight="1" spans="1:11">
      <c r="A47" s="101" t="s">
        <v>1666</v>
      </c>
      <c r="B47" s="102" t="s">
        <v>49</v>
      </c>
      <c r="C47" s="72" t="s">
        <v>2372</v>
      </c>
      <c r="D47" s="73" t="s">
        <v>2373</v>
      </c>
      <c r="E47" s="72" t="s">
        <v>132</v>
      </c>
      <c r="F47" s="74">
        <v>0</v>
      </c>
      <c r="G47" s="72" t="s">
        <v>65</v>
      </c>
      <c r="H47" s="72">
        <v>21658</v>
      </c>
      <c r="I47" s="94"/>
      <c r="J47" s="72"/>
      <c r="K47" s="96"/>
    </row>
    <row r="48" ht="30" customHeight="1" spans="1:11">
      <c r="A48" s="101" t="s">
        <v>1666</v>
      </c>
      <c r="B48" s="102" t="s">
        <v>49</v>
      </c>
      <c r="C48" s="72" t="s">
        <v>2374</v>
      </c>
      <c r="D48" s="73" t="s">
        <v>2375</v>
      </c>
      <c r="E48" s="72" t="s">
        <v>132</v>
      </c>
      <c r="F48" s="74">
        <v>0</v>
      </c>
      <c r="G48" s="72" t="s">
        <v>65</v>
      </c>
      <c r="H48" s="72">
        <v>27832</v>
      </c>
      <c r="I48" s="94"/>
      <c r="J48" s="72"/>
      <c r="K48" s="96"/>
    </row>
    <row r="49" ht="30" customHeight="1" spans="1:11">
      <c r="A49" s="101" t="s">
        <v>1666</v>
      </c>
      <c r="B49" s="102" t="s">
        <v>49</v>
      </c>
      <c r="C49" s="72" t="s">
        <v>2376</v>
      </c>
      <c r="D49" s="73" t="s">
        <v>2377</v>
      </c>
      <c r="E49" s="72" t="s">
        <v>132</v>
      </c>
      <c r="F49" s="74">
        <v>0</v>
      </c>
      <c r="G49" s="72" t="s">
        <v>65</v>
      </c>
      <c r="H49" s="72">
        <v>43330</v>
      </c>
      <c r="I49" s="94"/>
      <c r="J49" s="72"/>
      <c r="K49" s="96"/>
    </row>
    <row r="50" ht="30" customHeight="1" spans="1:11">
      <c r="A50" s="101" t="s">
        <v>1666</v>
      </c>
      <c r="B50" s="102" t="s">
        <v>49</v>
      </c>
      <c r="C50" s="72" t="s">
        <v>2378</v>
      </c>
      <c r="D50" s="73" t="s">
        <v>2379</v>
      </c>
      <c r="E50" s="72" t="s">
        <v>132</v>
      </c>
      <c r="F50" s="74">
        <v>0</v>
      </c>
      <c r="G50" s="72" t="s">
        <v>65</v>
      </c>
      <c r="H50" s="72">
        <v>11130</v>
      </c>
      <c r="I50" s="94"/>
      <c r="J50" s="72"/>
      <c r="K50" s="96"/>
    </row>
    <row r="51" ht="30" customHeight="1" spans="1:11">
      <c r="A51" s="101" t="s">
        <v>1666</v>
      </c>
      <c r="B51" s="102" t="s">
        <v>49</v>
      </c>
      <c r="C51" s="72" t="s">
        <v>2380</v>
      </c>
      <c r="D51" s="73" t="s">
        <v>2381</v>
      </c>
      <c r="E51" s="72" t="s">
        <v>132</v>
      </c>
      <c r="F51" s="74">
        <v>0</v>
      </c>
      <c r="G51" s="72" t="s">
        <v>65</v>
      </c>
      <c r="H51" s="72">
        <v>17332</v>
      </c>
      <c r="I51" s="94"/>
      <c r="J51" s="72"/>
      <c r="K51" s="96"/>
    </row>
    <row r="52" ht="30" customHeight="1" spans="1:11">
      <c r="A52" s="101" t="s">
        <v>1666</v>
      </c>
      <c r="B52" s="102" t="s">
        <v>49</v>
      </c>
      <c r="C52" s="72" t="s">
        <v>2382</v>
      </c>
      <c r="D52" s="73" t="s">
        <v>2383</v>
      </c>
      <c r="E52" s="72" t="s">
        <v>132</v>
      </c>
      <c r="F52" s="74">
        <v>0</v>
      </c>
      <c r="G52" s="72" t="s">
        <v>65</v>
      </c>
      <c r="H52" s="72">
        <v>16702</v>
      </c>
      <c r="I52" s="94"/>
      <c r="J52" s="72"/>
      <c r="K52" s="96"/>
    </row>
    <row r="53" ht="30" customHeight="1" spans="1:11">
      <c r="A53" s="101" t="s">
        <v>1666</v>
      </c>
      <c r="B53" s="102" t="s">
        <v>49</v>
      </c>
      <c r="C53" s="72" t="s">
        <v>2384</v>
      </c>
      <c r="D53" s="73" t="s">
        <v>2385</v>
      </c>
      <c r="E53" s="72" t="s">
        <v>132</v>
      </c>
      <c r="F53" s="74">
        <v>0</v>
      </c>
      <c r="G53" s="72" t="s">
        <v>65</v>
      </c>
      <c r="H53" s="72">
        <v>25998</v>
      </c>
      <c r="I53" s="94"/>
      <c r="J53" s="72"/>
      <c r="K53" s="96"/>
    </row>
    <row r="54" ht="44" customHeight="1" spans="1:11">
      <c r="A54" s="99" t="s">
        <v>1666</v>
      </c>
      <c r="B54" s="72" t="s">
        <v>49</v>
      </c>
      <c r="C54" s="72" t="s">
        <v>2386</v>
      </c>
      <c r="D54" s="73" t="s">
        <v>2387</v>
      </c>
      <c r="E54" s="72" t="s">
        <v>132</v>
      </c>
      <c r="F54" s="74">
        <v>0</v>
      </c>
      <c r="G54" s="72" t="s">
        <v>69</v>
      </c>
      <c r="H54" s="72">
        <v>1974</v>
      </c>
      <c r="I54" s="94"/>
      <c r="J54" s="72"/>
      <c r="K54" s="96"/>
    </row>
    <row r="55" ht="44" customHeight="1" spans="1:11">
      <c r="A55" s="99" t="s">
        <v>1666</v>
      </c>
      <c r="B55" s="72" t="s">
        <v>49</v>
      </c>
      <c r="C55" s="72" t="s">
        <v>2388</v>
      </c>
      <c r="D55" s="73" t="s">
        <v>2389</v>
      </c>
      <c r="E55" s="72" t="s">
        <v>132</v>
      </c>
      <c r="F55" s="74">
        <v>0</v>
      </c>
      <c r="G55" s="72" t="s">
        <v>69</v>
      </c>
      <c r="H55" s="72">
        <v>64988</v>
      </c>
      <c r="I55" s="94"/>
      <c r="J55" s="72"/>
      <c r="K55" s="96"/>
    </row>
    <row r="56" ht="44" customHeight="1" spans="1:11">
      <c r="A56" s="99" t="s">
        <v>1666</v>
      </c>
      <c r="B56" s="72" t="s">
        <v>49</v>
      </c>
      <c r="C56" s="72" t="s">
        <v>2390</v>
      </c>
      <c r="D56" s="73" t="s">
        <v>2391</v>
      </c>
      <c r="E56" s="72" t="s">
        <v>132</v>
      </c>
      <c r="F56" s="74">
        <v>0</v>
      </c>
      <c r="G56" s="72" t="s">
        <v>69</v>
      </c>
      <c r="H56" s="72">
        <v>346598</v>
      </c>
      <c r="I56" s="94"/>
      <c r="J56" s="72"/>
      <c r="K56" s="96"/>
    </row>
    <row r="57" ht="44" customHeight="1" spans="1:11">
      <c r="A57" s="99" t="s">
        <v>1666</v>
      </c>
      <c r="B57" s="72" t="s">
        <v>49</v>
      </c>
      <c r="C57" s="72" t="s">
        <v>2392</v>
      </c>
      <c r="D57" s="73" t="s">
        <v>2393</v>
      </c>
      <c r="E57" s="72" t="s">
        <v>132</v>
      </c>
      <c r="F57" s="74">
        <v>0</v>
      </c>
      <c r="G57" s="72" t="s">
        <v>69</v>
      </c>
      <c r="H57" s="72">
        <v>216622</v>
      </c>
      <c r="I57" s="94"/>
      <c r="J57" s="72"/>
      <c r="K57" s="96"/>
    </row>
    <row r="58" ht="44" customHeight="1" spans="1:11">
      <c r="A58" s="99" t="s">
        <v>1666</v>
      </c>
      <c r="B58" s="72" t="s">
        <v>49</v>
      </c>
      <c r="C58" s="72" t="s">
        <v>2394</v>
      </c>
      <c r="D58" s="73" t="s">
        <v>2395</v>
      </c>
      <c r="E58" s="72" t="s">
        <v>132</v>
      </c>
      <c r="F58" s="74">
        <v>0</v>
      </c>
      <c r="G58" s="72" t="s">
        <v>69</v>
      </c>
      <c r="H58" s="72">
        <v>43330</v>
      </c>
      <c r="I58" s="94"/>
      <c r="J58" s="72"/>
      <c r="K58" s="96"/>
    </row>
    <row r="59" ht="37.5" customHeight="1" spans="1:11">
      <c r="A59" s="99" t="s">
        <v>1666</v>
      </c>
      <c r="B59" s="72" t="s">
        <v>49</v>
      </c>
      <c r="C59" s="72" t="s">
        <v>2396</v>
      </c>
      <c r="D59" s="73" t="s">
        <v>2397</v>
      </c>
      <c r="E59" s="72" t="s">
        <v>132</v>
      </c>
      <c r="F59" s="74">
        <v>0</v>
      </c>
      <c r="G59" s="72" t="s">
        <v>65</v>
      </c>
      <c r="H59" s="72">
        <v>17724</v>
      </c>
      <c r="I59" s="94"/>
      <c r="J59" s="72"/>
      <c r="K59" s="96"/>
    </row>
    <row r="60" ht="30" customHeight="1" spans="1:11">
      <c r="A60" s="99" t="s">
        <v>1666</v>
      </c>
      <c r="B60" s="72" t="s">
        <v>49</v>
      </c>
      <c r="C60" s="72" t="s">
        <v>2398</v>
      </c>
      <c r="D60" s="73" t="s">
        <v>2399</v>
      </c>
      <c r="E60" s="72" t="s">
        <v>132</v>
      </c>
      <c r="F60" s="74">
        <v>0</v>
      </c>
      <c r="G60" s="72" t="s">
        <v>65</v>
      </c>
      <c r="H60" s="72">
        <v>1974</v>
      </c>
      <c r="I60" s="94"/>
      <c r="J60" s="72"/>
      <c r="K60" s="96"/>
    </row>
    <row r="61" ht="30" customHeight="1" spans="1:11">
      <c r="A61" s="99" t="s">
        <v>1666</v>
      </c>
      <c r="B61" s="72" t="s">
        <v>49</v>
      </c>
      <c r="C61" s="72" t="s">
        <v>2400</v>
      </c>
      <c r="D61" s="73" t="s">
        <v>2401</v>
      </c>
      <c r="E61" s="72" t="s">
        <v>132</v>
      </c>
      <c r="F61" s="74">
        <v>0</v>
      </c>
      <c r="G61" s="72" t="s">
        <v>65</v>
      </c>
      <c r="H61" s="72">
        <v>3934</v>
      </c>
      <c r="I61" s="94"/>
      <c r="J61" s="72"/>
      <c r="K61" s="96"/>
    </row>
    <row r="62" ht="30" customHeight="1" spans="1:11">
      <c r="A62" s="99" t="s">
        <v>1666</v>
      </c>
      <c r="B62" s="72" t="s">
        <v>49</v>
      </c>
      <c r="C62" s="72" t="s">
        <v>2402</v>
      </c>
      <c r="D62" s="73" t="s">
        <v>2403</v>
      </c>
      <c r="E62" s="72" t="s">
        <v>132</v>
      </c>
      <c r="F62" s="74">
        <v>0</v>
      </c>
      <c r="G62" s="72" t="s">
        <v>65</v>
      </c>
      <c r="H62" s="72">
        <v>78778</v>
      </c>
      <c r="I62" s="94"/>
      <c r="J62" s="72"/>
      <c r="K62" s="96"/>
    </row>
    <row r="63" ht="30" customHeight="1" spans="1:11">
      <c r="A63" s="99" t="s">
        <v>1666</v>
      </c>
      <c r="B63" s="72" t="s">
        <v>49</v>
      </c>
      <c r="C63" s="72" t="s">
        <v>2404</v>
      </c>
      <c r="D63" s="73" t="s">
        <v>2405</v>
      </c>
      <c r="E63" s="72" t="s">
        <v>132</v>
      </c>
      <c r="F63" s="74">
        <v>0</v>
      </c>
      <c r="G63" s="72" t="s">
        <v>65</v>
      </c>
      <c r="H63" s="72">
        <v>9842</v>
      </c>
      <c r="I63" s="94"/>
      <c r="J63" s="72"/>
      <c r="K63" s="96"/>
    </row>
    <row r="64" ht="30" customHeight="1" spans="1:11">
      <c r="A64" s="99" t="s">
        <v>1666</v>
      </c>
      <c r="B64" s="72" t="s">
        <v>49</v>
      </c>
      <c r="C64" s="72" t="s">
        <v>2406</v>
      </c>
      <c r="D64" s="73" t="s">
        <v>2407</v>
      </c>
      <c r="E64" s="72" t="s">
        <v>132</v>
      </c>
      <c r="F64" s="74">
        <v>0</v>
      </c>
      <c r="G64" s="72" t="s">
        <v>65</v>
      </c>
      <c r="H64" s="72">
        <v>5908</v>
      </c>
      <c r="I64" s="94"/>
      <c r="J64" s="72"/>
      <c r="K64" s="96"/>
    </row>
    <row r="65" ht="30" customHeight="1" spans="1:11">
      <c r="A65" s="99" t="s">
        <v>1666</v>
      </c>
      <c r="B65" s="72" t="s">
        <v>49</v>
      </c>
      <c r="C65" s="72" t="s">
        <v>2408</v>
      </c>
      <c r="D65" s="73" t="s">
        <v>2409</v>
      </c>
      <c r="E65" s="72" t="s">
        <v>132</v>
      </c>
      <c r="F65" s="74">
        <v>0</v>
      </c>
      <c r="G65" s="72" t="s">
        <v>65</v>
      </c>
      <c r="H65" s="72">
        <v>39382</v>
      </c>
      <c r="I65" s="94"/>
      <c r="J65" s="72"/>
      <c r="K65" s="96"/>
    </row>
    <row r="66" ht="30" customHeight="1" spans="1:11">
      <c r="A66" s="99" t="s">
        <v>1666</v>
      </c>
      <c r="B66" s="72" t="s">
        <v>49</v>
      </c>
      <c r="C66" s="72" t="s">
        <v>2410</v>
      </c>
      <c r="D66" s="73" t="s">
        <v>2411</v>
      </c>
      <c r="E66" s="72" t="s">
        <v>132</v>
      </c>
      <c r="F66" s="74">
        <v>0</v>
      </c>
      <c r="G66" s="72" t="s">
        <v>65</v>
      </c>
      <c r="H66" s="72">
        <v>1176</v>
      </c>
      <c r="I66" s="94"/>
      <c r="J66" s="72"/>
      <c r="K66" s="96"/>
    </row>
    <row r="67" ht="30" customHeight="1" spans="1:11">
      <c r="A67" s="99" t="s">
        <v>1666</v>
      </c>
      <c r="B67" s="72" t="s">
        <v>49</v>
      </c>
      <c r="C67" s="72" t="s">
        <v>2412</v>
      </c>
      <c r="D67" s="73" t="s">
        <v>2413</v>
      </c>
      <c r="E67" s="72" t="s">
        <v>132</v>
      </c>
      <c r="F67" s="74">
        <v>0</v>
      </c>
      <c r="G67" s="72" t="s">
        <v>65</v>
      </c>
      <c r="H67" s="72">
        <v>23632</v>
      </c>
      <c r="I67" s="94"/>
      <c r="J67" s="72"/>
      <c r="K67" s="96"/>
    </row>
    <row r="68" ht="30" customHeight="1" spans="1:11">
      <c r="A68" s="99" t="s">
        <v>1666</v>
      </c>
      <c r="B68" s="72" t="s">
        <v>49</v>
      </c>
      <c r="C68" s="72" t="s">
        <v>2414</v>
      </c>
      <c r="D68" s="73" t="s">
        <v>2415</v>
      </c>
      <c r="E68" s="72" t="s">
        <v>132</v>
      </c>
      <c r="F68" s="74">
        <v>0</v>
      </c>
      <c r="G68" s="72" t="s">
        <v>65</v>
      </c>
      <c r="H68" s="72">
        <v>2954</v>
      </c>
      <c r="I68" s="94"/>
      <c r="J68" s="72"/>
      <c r="K68" s="96"/>
    </row>
    <row r="69" ht="30" customHeight="1" spans="1:11">
      <c r="A69" s="99" t="s">
        <v>1666</v>
      </c>
      <c r="B69" s="72" t="s">
        <v>49</v>
      </c>
      <c r="C69" s="72" t="s">
        <v>2416</v>
      </c>
      <c r="D69" s="73" t="s">
        <v>2417</v>
      </c>
      <c r="E69" s="72" t="s">
        <v>132</v>
      </c>
      <c r="F69" s="74">
        <v>0</v>
      </c>
      <c r="G69" s="72" t="s">
        <v>65</v>
      </c>
      <c r="H69" s="72">
        <v>5908</v>
      </c>
      <c r="I69" s="94"/>
      <c r="J69" s="72"/>
      <c r="K69" s="96"/>
    </row>
    <row r="70" ht="30" customHeight="1" spans="1:11">
      <c r="A70" s="99" t="s">
        <v>1666</v>
      </c>
      <c r="B70" s="72" t="s">
        <v>49</v>
      </c>
      <c r="C70" s="72" t="s">
        <v>2418</v>
      </c>
      <c r="D70" s="73" t="s">
        <v>2419</v>
      </c>
      <c r="E70" s="72" t="s">
        <v>132</v>
      </c>
      <c r="F70" s="74">
        <v>0</v>
      </c>
      <c r="G70" s="72" t="s">
        <v>65</v>
      </c>
      <c r="H70" s="72">
        <v>39382</v>
      </c>
      <c r="I70" s="94"/>
      <c r="J70" s="72"/>
      <c r="K70" s="96"/>
    </row>
    <row r="71" ht="30" customHeight="1" spans="1:11">
      <c r="A71" s="99" t="s">
        <v>1666</v>
      </c>
      <c r="B71" s="72" t="s">
        <v>49</v>
      </c>
      <c r="C71" s="72" t="s">
        <v>2420</v>
      </c>
      <c r="D71" s="73" t="s">
        <v>2421</v>
      </c>
      <c r="E71" s="72" t="s">
        <v>132</v>
      </c>
      <c r="F71" s="74">
        <v>0</v>
      </c>
      <c r="G71" s="72" t="s">
        <v>65</v>
      </c>
      <c r="H71" s="72">
        <v>1176</v>
      </c>
      <c r="I71" s="94"/>
      <c r="J71" s="72"/>
      <c r="K71" s="96"/>
    </row>
    <row r="72" ht="30" customHeight="1" spans="1:11">
      <c r="A72" s="99" t="s">
        <v>1666</v>
      </c>
      <c r="B72" s="72" t="s">
        <v>49</v>
      </c>
      <c r="C72" s="72" t="s">
        <v>2422</v>
      </c>
      <c r="D72" s="73" t="s">
        <v>2423</v>
      </c>
      <c r="E72" s="72" t="s">
        <v>132</v>
      </c>
      <c r="F72" s="74">
        <v>0</v>
      </c>
      <c r="G72" s="72" t="s">
        <v>65</v>
      </c>
      <c r="H72" s="72">
        <v>23632</v>
      </c>
      <c r="I72" s="94"/>
      <c r="J72" s="72"/>
      <c r="K72" s="96"/>
    </row>
    <row r="73" ht="30" customHeight="1" spans="1:11">
      <c r="A73" s="99" t="s">
        <v>1666</v>
      </c>
      <c r="B73" s="72" t="s">
        <v>49</v>
      </c>
      <c r="C73" s="72" t="s">
        <v>2424</v>
      </c>
      <c r="D73" s="73" t="s">
        <v>2425</v>
      </c>
      <c r="E73" s="72" t="s">
        <v>132</v>
      </c>
      <c r="F73" s="74">
        <v>0</v>
      </c>
      <c r="G73" s="72" t="s">
        <v>65</v>
      </c>
      <c r="H73" s="72">
        <v>2954</v>
      </c>
      <c r="I73" s="94"/>
      <c r="J73" s="72"/>
      <c r="K73" s="96"/>
    </row>
    <row r="74" ht="30" customHeight="1" spans="1:11">
      <c r="A74" s="99" t="s">
        <v>2273</v>
      </c>
      <c r="B74" s="72" t="s">
        <v>49</v>
      </c>
      <c r="C74" s="72" t="s">
        <v>2426</v>
      </c>
      <c r="D74" s="73" t="s">
        <v>2427</v>
      </c>
      <c r="E74" s="72" t="s">
        <v>132</v>
      </c>
      <c r="F74" s="74">
        <v>0</v>
      </c>
      <c r="G74" s="72" t="s">
        <v>65</v>
      </c>
      <c r="H74" s="72">
        <v>48063</v>
      </c>
      <c r="I74" s="94"/>
      <c r="J74" s="72"/>
      <c r="K74" s="100"/>
    </row>
    <row r="75" ht="30" customHeight="1" spans="1:11">
      <c r="A75" s="99" t="s">
        <v>2273</v>
      </c>
      <c r="B75" s="72" t="s">
        <v>49</v>
      </c>
      <c r="C75" s="72" t="s">
        <v>2428</v>
      </c>
      <c r="D75" s="73" t="s">
        <v>2429</v>
      </c>
      <c r="E75" s="72" t="s">
        <v>132</v>
      </c>
      <c r="F75" s="74">
        <v>0</v>
      </c>
      <c r="G75" s="72" t="s">
        <v>65</v>
      </c>
      <c r="H75" s="72">
        <v>191943</v>
      </c>
      <c r="I75" s="94"/>
      <c r="J75" s="72"/>
      <c r="K75" s="100"/>
    </row>
    <row r="76" ht="30" customHeight="1" spans="1:11">
      <c r="A76" s="99" t="s">
        <v>2273</v>
      </c>
      <c r="B76" s="72" t="s">
        <v>49</v>
      </c>
      <c r="C76" s="72" t="s">
        <v>2430</v>
      </c>
      <c r="D76" s="73" t="s">
        <v>2431</v>
      </c>
      <c r="E76" s="72" t="s">
        <v>132</v>
      </c>
      <c r="F76" s="74">
        <v>0</v>
      </c>
      <c r="G76" s="72" t="s">
        <v>65</v>
      </c>
      <c r="H76" s="72">
        <v>479703</v>
      </c>
      <c r="I76" s="94"/>
      <c r="J76" s="72"/>
      <c r="K76" s="100"/>
    </row>
    <row r="77" ht="30" customHeight="1" spans="1:11">
      <c r="A77" s="99" t="s">
        <v>2273</v>
      </c>
      <c r="B77" s="72" t="s">
        <v>49</v>
      </c>
      <c r="C77" s="72" t="s">
        <v>2432</v>
      </c>
      <c r="D77" s="73" t="s">
        <v>2433</v>
      </c>
      <c r="E77" s="72" t="s">
        <v>132</v>
      </c>
      <c r="F77" s="74">
        <v>0</v>
      </c>
      <c r="G77" s="72" t="s">
        <v>65</v>
      </c>
      <c r="H77" s="72">
        <v>143879</v>
      </c>
      <c r="I77" s="94"/>
      <c r="J77" s="72"/>
      <c r="K77" s="100"/>
    </row>
    <row r="78" ht="30" customHeight="1" spans="1:11">
      <c r="A78" s="99" t="s">
        <v>2273</v>
      </c>
      <c r="B78" s="72" t="s">
        <v>49</v>
      </c>
      <c r="C78" s="72" t="s">
        <v>2434</v>
      </c>
      <c r="D78" s="73" t="s">
        <v>2435</v>
      </c>
      <c r="E78" s="72" t="s">
        <v>132</v>
      </c>
      <c r="F78" s="74">
        <v>0</v>
      </c>
      <c r="G78" s="72" t="s">
        <v>65</v>
      </c>
      <c r="H78" s="72">
        <v>359854</v>
      </c>
      <c r="I78" s="94"/>
      <c r="J78" s="72"/>
      <c r="K78" s="100"/>
    </row>
    <row r="79" ht="30" customHeight="1" spans="1:11">
      <c r="A79" s="101" t="s">
        <v>2273</v>
      </c>
      <c r="B79" s="72" t="s">
        <v>49</v>
      </c>
      <c r="C79" s="72" t="s">
        <v>2436</v>
      </c>
      <c r="D79" s="73" t="s">
        <v>2437</v>
      </c>
      <c r="E79" s="72" t="s">
        <v>132</v>
      </c>
      <c r="F79" s="74">
        <v>0</v>
      </c>
      <c r="G79" s="74" t="s">
        <v>65</v>
      </c>
      <c r="H79" s="72">
        <v>1584</v>
      </c>
      <c r="I79" s="94"/>
      <c r="J79" s="72"/>
      <c r="K79" s="100"/>
    </row>
    <row r="80" ht="30" customHeight="1" spans="1:11">
      <c r="A80" s="101" t="s">
        <v>2273</v>
      </c>
      <c r="B80" s="72" t="s">
        <v>49</v>
      </c>
      <c r="C80" s="72" t="s">
        <v>2438</v>
      </c>
      <c r="D80" s="73" t="s">
        <v>2439</v>
      </c>
      <c r="E80" s="72" t="s">
        <v>132</v>
      </c>
      <c r="F80" s="74">
        <v>0</v>
      </c>
      <c r="G80" s="74" t="s">
        <v>65</v>
      </c>
      <c r="H80" s="72">
        <v>3100</v>
      </c>
      <c r="I80" s="94"/>
      <c r="J80" s="72"/>
      <c r="K80" s="100"/>
    </row>
    <row r="81" ht="30" customHeight="1" spans="1:11">
      <c r="A81" s="99" t="s">
        <v>2273</v>
      </c>
      <c r="B81" s="72" t="s">
        <v>49</v>
      </c>
      <c r="C81" s="102" t="s">
        <v>2440</v>
      </c>
      <c r="D81" s="73" t="s">
        <v>2441</v>
      </c>
      <c r="E81" s="72" t="s">
        <v>132</v>
      </c>
      <c r="F81" s="74">
        <v>0</v>
      </c>
      <c r="G81" s="72" t="s">
        <v>65</v>
      </c>
      <c r="H81" s="72">
        <v>79543</v>
      </c>
      <c r="I81" s="94"/>
      <c r="J81" s="72"/>
      <c r="K81" s="100"/>
    </row>
    <row r="82" ht="30" customHeight="1" spans="1:11">
      <c r="A82" s="99" t="s">
        <v>2273</v>
      </c>
      <c r="B82" s="72" t="s">
        <v>49</v>
      </c>
      <c r="C82" s="72" t="s">
        <v>2442</v>
      </c>
      <c r="D82" s="73" t="s">
        <v>2443</v>
      </c>
      <c r="E82" s="72" t="s">
        <v>132</v>
      </c>
      <c r="F82" s="74">
        <v>0</v>
      </c>
      <c r="G82" s="72" t="s">
        <v>65</v>
      </c>
      <c r="H82" s="72">
        <v>156391</v>
      </c>
      <c r="I82" s="94"/>
      <c r="J82" s="72"/>
      <c r="K82" s="100"/>
    </row>
    <row r="83" ht="30" customHeight="1" spans="1:11">
      <c r="A83" s="99" t="s">
        <v>2273</v>
      </c>
      <c r="B83" s="72" t="s">
        <v>49</v>
      </c>
      <c r="C83" s="74" t="s">
        <v>2444</v>
      </c>
      <c r="D83" s="73" t="s">
        <v>2445</v>
      </c>
      <c r="E83" s="74" t="s">
        <v>132</v>
      </c>
      <c r="F83" s="74">
        <v>0</v>
      </c>
      <c r="G83" s="74" t="s">
        <v>65</v>
      </c>
      <c r="H83" s="72">
        <v>546</v>
      </c>
      <c r="I83" s="94"/>
      <c r="J83" s="96"/>
      <c r="K83" s="103"/>
    </row>
    <row r="84" ht="30" customHeight="1" spans="1:11">
      <c r="A84" s="99" t="s">
        <v>2273</v>
      </c>
      <c r="B84" s="72" t="s">
        <v>49</v>
      </c>
      <c r="C84" s="74" t="s">
        <v>2446</v>
      </c>
      <c r="D84" s="73" t="s">
        <v>2447</v>
      </c>
      <c r="E84" s="74" t="s">
        <v>132</v>
      </c>
      <c r="F84" s="74">
        <v>0</v>
      </c>
      <c r="G84" s="74" t="s">
        <v>65</v>
      </c>
      <c r="H84" s="72">
        <v>9268</v>
      </c>
      <c r="I84" s="94"/>
      <c r="J84" s="96"/>
      <c r="K84" s="103"/>
    </row>
    <row r="85" ht="30" customHeight="1" spans="1:11">
      <c r="A85" s="99" t="s">
        <v>2273</v>
      </c>
      <c r="B85" s="72" t="s">
        <v>49</v>
      </c>
      <c r="C85" s="74" t="s">
        <v>2448</v>
      </c>
      <c r="D85" s="73" t="s">
        <v>2449</v>
      </c>
      <c r="E85" s="74" t="s">
        <v>132</v>
      </c>
      <c r="F85" s="74">
        <v>0</v>
      </c>
      <c r="G85" s="74" t="s">
        <v>65</v>
      </c>
      <c r="H85" s="72">
        <v>462</v>
      </c>
      <c r="I85" s="94"/>
      <c r="J85" s="96"/>
      <c r="K85" s="103"/>
    </row>
    <row r="86" ht="30" customHeight="1" spans="1:11">
      <c r="A86" s="99" t="s">
        <v>2273</v>
      </c>
      <c r="B86" s="72" t="s">
        <v>49</v>
      </c>
      <c r="C86" s="74" t="s">
        <v>2450</v>
      </c>
      <c r="D86" s="73" t="s">
        <v>2451</v>
      </c>
      <c r="E86" s="74" t="s">
        <v>132</v>
      </c>
      <c r="F86" s="74">
        <v>0</v>
      </c>
      <c r="G86" s="74" t="s">
        <v>65</v>
      </c>
      <c r="H86" s="72">
        <v>4172</v>
      </c>
      <c r="I86" s="94"/>
      <c r="J86" s="96"/>
      <c r="K86" s="103"/>
    </row>
    <row r="87" ht="30" customHeight="1" spans="1:11">
      <c r="A87" s="99" t="s">
        <v>2273</v>
      </c>
      <c r="B87" s="72" t="s">
        <v>49</v>
      </c>
      <c r="C87" s="74" t="s">
        <v>2452</v>
      </c>
      <c r="D87" s="73" t="s">
        <v>2453</v>
      </c>
      <c r="E87" s="74" t="s">
        <v>132</v>
      </c>
      <c r="F87" s="74">
        <v>0</v>
      </c>
      <c r="G87" s="74" t="s">
        <v>65</v>
      </c>
      <c r="H87" s="72">
        <v>462</v>
      </c>
      <c r="I87" s="94"/>
      <c r="J87" s="96"/>
      <c r="K87" s="103"/>
    </row>
    <row r="88" ht="30" customHeight="1" spans="1:11">
      <c r="A88" s="99" t="s">
        <v>2273</v>
      </c>
      <c r="B88" s="72" t="s">
        <v>49</v>
      </c>
      <c r="C88" s="74" t="s">
        <v>2454</v>
      </c>
      <c r="D88" s="73" t="s">
        <v>2455</v>
      </c>
      <c r="E88" s="74" t="s">
        <v>132</v>
      </c>
      <c r="F88" s="74">
        <v>0</v>
      </c>
      <c r="G88" s="74" t="s">
        <v>65</v>
      </c>
      <c r="H88" s="72">
        <v>27804</v>
      </c>
      <c r="I88" s="94"/>
      <c r="J88" s="96"/>
      <c r="K88" s="103"/>
    </row>
    <row r="89" ht="30" customHeight="1" spans="1:11">
      <c r="A89" s="99" t="s">
        <v>2273</v>
      </c>
      <c r="B89" s="72" t="s">
        <v>49</v>
      </c>
      <c r="C89" s="74" t="s">
        <v>2456</v>
      </c>
      <c r="D89" s="73" t="s">
        <v>2457</v>
      </c>
      <c r="E89" s="74" t="s">
        <v>132</v>
      </c>
      <c r="F89" s="74">
        <v>0</v>
      </c>
      <c r="G89" s="74" t="s">
        <v>65</v>
      </c>
      <c r="H89" s="72">
        <v>924</v>
      </c>
      <c r="I89" s="94"/>
      <c r="J89" s="96"/>
      <c r="K89" s="103"/>
    </row>
    <row r="90" ht="30" customHeight="1" spans="1:11">
      <c r="A90" s="99" t="s">
        <v>2273</v>
      </c>
      <c r="B90" s="72" t="s">
        <v>49</v>
      </c>
      <c r="C90" s="74" t="s">
        <v>2458</v>
      </c>
      <c r="D90" s="73" t="s">
        <v>2459</v>
      </c>
      <c r="E90" s="74" t="s">
        <v>132</v>
      </c>
      <c r="F90" s="74">
        <v>0</v>
      </c>
      <c r="G90" s="74" t="s">
        <v>65</v>
      </c>
      <c r="H90" s="72">
        <v>18536</v>
      </c>
      <c r="I90" s="94"/>
      <c r="J90" s="96"/>
      <c r="K90" s="103"/>
    </row>
    <row r="91" ht="30" customHeight="1" spans="1:11">
      <c r="A91" s="99" t="s">
        <v>2273</v>
      </c>
      <c r="B91" s="72" t="s">
        <v>49</v>
      </c>
      <c r="C91" s="74" t="s">
        <v>2460</v>
      </c>
      <c r="D91" s="73" t="s">
        <v>2461</v>
      </c>
      <c r="E91" s="74" t="s">
        <v>132</v>
      </c>
      <c r="F91" s="74">
        <v>0</v>
      </c>
      <c r="G91" s="74" t="s">
        <v>65</v>
      </c>
      <c r="H91" s="72">
        <v>2310</v>
      </c>
      <c r="I91" s="94"/>
      <c r="J91" s="96"/>
      <c r="K91" s="103"/>
    </row>
    <row r="92" ht="30" customHeight="1" spans="1:11">
      <c r="A92" s="99" t="s">
        <v>2273</v>
      </c>
      <c r="B92" s="72" t="s">
        <v>49</v>
      </c>
      <c r="C92" s="74" t="s">
        <v>2462</v>
      </c>
      <c r="D92" s="73" t="s">
        <v>2463</v>
      </c>
      <c r="E92" s="74" t="s">
        <v>132</v>
      </c>
      <c r="F92" s="74">
        <v>0</v>
      </c>
      <c r="G92" s="74" t="s">
        <v>65</v>
      </c>
      <c r="H92" s="72">
        <v>1386</v>
      </c>
      <c r="I92" s="94"/>
      <c r="J92" s="96"/>
      <c r="K92" s="103"/>
    </row>
    <row r="93" ht="30" customHeight="1" spans="1:11">
      <c r="A93" s="99" t="s">
        <v>2273</v>
      </c>
      <c r="B93" s="72" t="s">
        <v>49</v>
      </c>
      <c r="C93" s="74" t="s">
        <v>2464</v>
      </c>
      <c r="D93" s="73" t="s">
        <v>2465</v>
      </c>
      <c r="E93" s="74" t="s">
        <v>132</v>
      </c>
      <c r="F93" s="74">
        <v>0</v>
      </c>
      <c r="G93" s="74" t="s">
        <v>65</v>
      </c>
      <c r="H93" s="72">
        <v>9268</v>
      </c>
      <c r="I93" s="94"/>
      <c r="J93" s="96"/>
      <c r="K93" s="103"/>
    </row>
    <row r="94" ht="30" customHeight="1" spans="1:11">
      <c r="A94" s="99" t="s">
        <v>2273</v>
      </c>
      <c r="B94" s="72" t="s">
        <v>49</v>
      </c>
      <c r="C94" s="74" t="s">
        <v>2466</v>
      </c>
      <c r="D94" s="73" t="s">
        <v>2467</v>
      </c>
      <c r="E94" s="74" t="s">
        <v>132</v>
      </c>
      <c r="F94" s="74">
        <v>0</v>
      </c>
      <c r="G94" s="74" t="s">
        <v>65</v>
      </c>
      <c r="H94" s="72">
        <v>280</v>
      </c>
      <c r="I94" s="94"/>
      <c r="J94" s="96"/>
      <c r="K94" s="103"/>
    </row>
    <row r="95" ht="30" customHeight="1" spans="1:11">
      <c r="A95" s="99" t="s">
        <v>2273</v>
      </c>
      <c r="B95" s="72" t="s">
        <v>49</v>
      </c>
      <c r="C95" s="74" t="s">
        <v>2468</v>
      </c>
      <c r="D95" s="73" t="s">
        <v>2469</v>
      </c>
      <c r="E95" s="74" t="s">
        <v>132</v>
      </c>
      <c r="F95" s="74">
        <v>0</v>
      </c>
      <c r="G95" s="74" t="s">
        <v>65</v>
      </c>
      <c r="H95" s="72">
        <v>92680</v>
      </c>
      <c r="I95" s="94"/>
      <c r="J95" s="96"/>
      <c r="K95" s="103"/>
    </row>
    <row r="96" ht="30" customHeight="1" spans="1:11">
      <c r="A96" s="99" t="s">
        <v>2273</v>
      </c>
      <c r="B96" s="72" t="s">
        <v>49</v>
      </c>
      <c r="C96" s="74" t="s">
        <v>2470</v>
      </c>
      <c r="D96" s="73" t="s">
        <v>2471</v>
      </c>
      <c r="E96" s="74" t="s">
        <v>132</v>
      </c>
      <c r="F96" s="74">
        <v>0</v>
      </c>
      <c r="G96" s="74" t="s">
        <v>65</v>
      </c>
      <c r="H96" s="72">
        <v>5558</v>
      </c>
      <c r="I96" s="94"/>
      <c r="J96" s="96"/>
      <c r="K96" s="103"/>
    </row>
    <row r="97" ht="30" customHeight="1" spans="1:11">
      <c r="A97" s="99" t="s">
        <v>2273</v>
      </c>
      <c r="B97" s="72" t="s">
        <v>49</v>
      </c>
      <c r="C97" s="74" t="s">
        <v>2472</v>
      </c>
      <c r="D97" s="73" t="s">
        <v>2473</v>
      </c>
      <c r="E97" s="74" t="s">
        <v>132</v>
      </c>
      <c r="F97" s="74">
        <v>0</v>
      </c>
      <c r="G97" s="74" t="s">
        <v>65</v>
      </c>
      <c r="H97" s="72">
        <v>700</v>
      </c>
      <c r="I97" s="94"/>
      <c r="J97" s="96"/>
      <c r="K97" s="103"/>
    </row>
    <row r="98" ht="30" customHeight="1" spans="1:11">
      <c r="A98" s="99" t="s">
        <v>2273</v>
      </c>
      <c r="B98" s="72" t="s">
        <v>49</v>
      </c>
      <c r="C98" s="74" t="s">
        <v>2474</v>
      </c>
      <c r="D98" s="73" t="s">
        <v>2475</v>
      </c>
      <c r="E98" s="74" t="s">
        <v>132</v>
      </c>
      <c r="F98" s="74">
        <v>0</v>
      </c>
      <c r="G98" s="74" t="s">
        <v>65</v>
      </c>
      <c r="H98" s="72">
        <v>37072</v>
      </c>
      <c r="I98" s="94"/>
      <c r="J98" s="96"/>
      <c r="K98" s="103"/>
    </row>
    <row r="99" ht="30" customHeight="1" spans="1:11">
      <c r="A99" s="99" t="s">
        <v>2273</v>
      </c>
      <c r="B99" s="72" t="s">
        <v>49</v>
      </c>
      <c r="C99" s="74" t="s">
        <v>2476</v>
      </c>
      <c r="D99" s="73" t="s">
        <v>2477</v>
      </c>
      <c r="E99" s="74" t="s">
        <v>132</v>
      </c>
      <c r="F99" s="74">
        <v>0</v>
      </c>
      <c r="G99" s="74" t="s">
        <v>65</v>
      </c>
      <c r="H99" s="72">
        <v>1386</v>
      </c>
      <c r="I99" s="94"/>
      <c r="J99" s="96"/>
      <c r="K99" s="103"/>
    </row>
    <row r="100" ht="30" customHeight="1" spans="1:11">
      <c r="A100" s="99" t="s">
        <v>2273</v>
      </c>
      <c r="B100" s="72" t="s">
        <v>49</v>
      </c>
      <c r="C100" s="74" t="s">
        <v>2478</v>
      </c>
      <c r="D100" s="73" t="s">
        <v>2479</v>
      </c>
      <c r="E100" s="74" t="s">
        <v>132</v>
      </c>
      <c r="F100" s="74">
        <v>0</v>
      </c>
      <c r="G100" s="74" t="s">
        <v>65</v>
      </c>
      <c r="H100" s="72">
        <v>9268</v>
      </c>
      <c r="I100" s="94"/>
      <c r="J100" s="96"/>
      <c r="K100" s="103"/>
    </row>
    <row r="101" ht="30" customHeight="1" spans="1:11">
      <c r="A101" s="99" t="s">
        <v>2273</v>
      </c>
      <c r="B101" s="72" t="s">
        <v>49</v>
      </c>
      <c r="C101" s="74" t="s">
        <v>2480</v>
      </c>
      <c r="D101" s="73" t="s">
        <v>2481</v>
      </c>
      <c r="E101" s="74" t="s">
        <v>132</v>
      </c>
      <c r="F101" s="74">
        <v>0</v>
      </c>
      <c r="G101" s="74" t="s">
        <v>65</v>
      </c>
      <c r="H101" s="72">
        <v>280</v>
      </c>
      <c r="I101" s="94"/>
      <c r="J101" s="96"/>
      <c r="K101" s="103"/>
    </row>
    <row r="102" ht="30" customHeight="1" spans="1:11">
      <c r="A102" s="99" t="s">
        <v>2273</v>
      </c>
      <c r="B102" s="72" t="s">
        <v>49</v>
      </c>
      <c r="C102" s="74" t="s">
        <v>2482</v>
      </c>
      <c r="D102" s="73" t="s">
        <v>2483</v>
      </c>
      <c r="E102" s="74" t="s">
        <v>132</v>
      </c>
      <c r="F102" s="74">
        <v>0</v>
      </c>
      <c r="G102" s="74" t="s">
        <v>65</v>
      </c>
      <c r="H102" s="72">
        <v>69510</v>
      </c>
      <c r="I102" s="94"/>
      <c r="J102" s="96"/>
      <c r="K102" s="103"/>
    </row>
    <row r="103" ht="30" customHeight="1" spans="1:11">
      <c r="A103" s="99" t="s">
        <v>2273</v>
      </c>
      <c r="B103" s="72" t="s">
        <v>49</v>
      </c>
      <c r="C103" s="74" t="s">
        <v>2484</v>
      </c>
      <c r="D103" s="73" t="s">
        <v>2485</v>
      </c>
      <c r="E103" s="74" t="s">
        <v>132</v>
      </c>
      <c r="F103" s="74">
        <v>0</v>
      </c>
      <c r="G103" s="74" t="s">
        <v>65</v>
      </c>
      <c r="H103" s="72">
        <v>5558</v>
      </c>
      <c r="I103" s="94"/>
      <c r="J103" s="96"/>
      <c r="K103" s="103"/>
    </row>
    <row r="104" ht="30" customHeight="1" spans="1:11">
      <c r="A104" s="99" t="s">
        <v>2273</v>
      </c>
      <c r="B104" s="72" t="s">
        <v>49</v>
      </c>
      <c r="C104" s="74" t="s">
        <v>2486</v>
      </c>
      <c r="D104" s="73" t="s">
        <v>2487</v>
      </c>
      <c r="E104" s="74" t="s">
        <v>132</v>
      </c>
      <c r="F104" s="74">
        <v>0</v>
      </c>
      <c r="G104" s="74" t="s">
        <v>65</v>
      </c>
      <c r="H104" s="72">
        <v>700</v>
      </c>
      <c r="I104" s="94"/>
      <c r="J104" s="96"/>
      <c r="K104" s="103"/>
    </row>
    <row r="105" ht="30" customHeight="1" spans="1:11">
      <c r="A105" s="99" t="s">
        <v>2273</v>
      </c>
      <c r="B105" s="72" t="s">
        <v>49</v>
      </c>
      <c r="C105" s="74" t="s">
        <v>2488</v>
      </c>
      <c r="D105" s="73" t="s">
        <v>2489</v>
      </c>
      <c r="E105" s="74" t="s">
        <v>132</v>
      </c>
      <c r="F105" s="74">
        <v>0</v>
      </c>
      <c r="G105" s="74" t="s">
        <v>65</v>
      </c>
      <c r="H105" s="72">
        <v>27804</v>
      </c>
      <c r="I105" s="94"/>
      <c r="J105" s="96"/>
      <c r="K105" s="103"/>
    </row>
    <row r="106" ht="30" customHeight="1" spans="1:11">
      <c r="A106" s="99" t="s">
        <v>2273</v>
      </c>
      <c r="B106" s="72" t="s">
        <v>49</v>
      </c>
      <c r="C106" s="74" t="s">
        <v>2490</v>
      </c>
      <c r="D106" s="73" t="s">
        <v>2491</v>
      </c>
      <c r="E106" s="74" t="s">
        <v>132</v>
      </c>
      <c r="F106" s="74">
        <v>0</v>
      </c>
      <c r="G106" s="74" t="s">
        <v>65</v>
      </c>
      <c r="H106" s="72">
        <v>3052</v>
      </c>
      <c r="I106" s="94"/>
      <c r="J106" s="96"/>
      <c r="K106" s="103"/>
    </row>
    <row r="107" ht="30" customHeight="1" spans="1:11">
      <c r="A107" s="99" t="s">
        <v>2273</v>
      </c>
      <c r="B107" s="72" t="s">
        <v>49</v>
      </c>
      <c r="C107" s="74" t="s">
        <v>2492</v>
      </c>
      <c r="D107" s="73" t="s">
        <v>2493</v>
      </c>
      <c r="E107" s="74" t="s">
        <v>132</v>
      </c>
      <c r="F107" s="74">
        <v>0</v>
      </c>
      <c r="G107" s="74" t="s">
        <v>65</v>
      </c>
      <c r="H107" s="72">
        <v>15288</v>
      </c>
      <c r="I107" s="94"/>
      <c r="J107" s="96"/>
      <c r="K107" s="103"/>
    </row>
    <row r="108" ht="30" customHeight="1" spans="1:11">
      <c r="A108" s="99" t="s">
        <v>2273</v>
      </c>
      <c r="B108" s="72" t="s">
        <v>49</v>
      </c>
      <c r="C108" s="74" t="s">
        <v>2494</v>
      </c>
      <c r="D108" s="73" t="s">
        <v>2495</v>
      </c>
      <c r="E108" s="74" t="s">
        <v>132</v>
      </c>
      <c r="F108" s="74">
        <v>0</v>
      </c>
      <c r="G108" s="74" t="s">
        <v>65</v>
      </c>
      <c r="H108" s="72">
        <v>81550</v>
      </c>
      <c r="I108" s="94"/>
      <c r="J108" s="96"/>
      <c r="K108" s="103"/>
    </row>
    <row r="109" ht="30" customHeight="1" spans="1:11">
      <c r="A109" s="99" t="s">
        <v>2273</v>
      </c>
      <c r="B109" s="72" t="s">
        <v>49</v>
      </c>
      <c r="C109" s="74" t="s">
        <v>2496</v>
      </c>
      <c r="D109" s="73" t="s">
        <v>2497</v>
      </c>
      <c r="E109" s="74" t="s">
        <v>132</v>
      </c>
      <c r="F109" s="74">
        <v>0</v>
      </c>
      <c r="G109" s="74" t="s">
        <v>65</v>
      </c>
      <c r="H109" s="72">
        <v>5096</v>
      </c>
      <c r="I109" s="94"/>
      <c r="J109" s="96"/>
      <c r="K109" s="103"/>
    </row>
    <row r="110" ht="30" customHeight="1" spans="1:11">
      <c r="A110" s="99" t="s">
        <v>2273</v>
      </c>
      <c r="B110" s="72" t="s">
        <v>49</v>
      </c>
      <c r="C110" s="74" t="s">
        <v>2498</v>
      </c>
      <c r="D110" s="73" t="s">
        <v>2499</v>
      </c>
      <c r="E110" s="74" t="s">
        <v>132</v>
      </c>
      <c r="F110" s="74">
        <v>0</v>
      </c>
      <c r="G110" s="74" t="s">
        <v>65</v>
      </c>
      <c r="H110" s="72">
        <v>10192</v>
      </c>
      <c r="I110" s="94"/>
      <c r="J110" s="96"/>
      <c r="K110" s="103"/>
    </row>
    <row r="111" ht="30" customHeight="1" spans="1:11">
      <c r="A111" s="99" t="s">
        <v>2273</v>
      </c>
      <c r="B111" s="72" t="s">
        <v>49</v>
      </c>
      <c r="C111" s="74" t="s">
        <v>2500</v>
      </c>
      <c r="D111" s="73" t="s">
        <v>2501</v>
      </c>
      <c r="E111" s="74" t="s">
        <v>132</v>
      </c>
      <c r="F111" s="74">
        <v>0</v>
      </c>
      <c r="G111" s="74" t="s">
        <v>65</v>
      </c>
      <c r="H111" s="72">
        <v>50974</v>
      </c>
      <c r="I111" s="94"/>
      <c r="J111" s="96"/>
      <c r="K111" s="103"/>
    </row>
    <row r="112" ht="30" customHeight="1" spans="1:11">
      <c r="A112" s="99" t="s">
        <v>2273</v>
      </c>
      <c r="B112" s="72" t="s">
        <v>49</v>
      </c>
      <c r="C112" s="74" t="s">
        <v>2502</v>
      </c>
      <c r="D112" s="73" t="s">
        <v>2503</v>
      </c>
      <c r="E112" s="74" t="s">
        <v>132</v>
      </c>
      <c r="F112" s="74">
        <v>0</v>
      </c>
      <c r="G112" s="74" t="s">
        <v>65</v>
      </c>
      <c r="H112" s="72">
        <v>10192</v>
      </c>
      <c r="I112" s="94"/>
      <c r="J112" s="96"/>
      <c r="K112" s="103"/>
    </row>
    <row r="113" ht="30" customHeight="1" spans="1:11">
      <c r="A113" s="99" t="s">
        <v>2273</v>
      </c>
      <c r="B113" s="72" t="s">
        <v>49</v>
      </c>
      <c r="C113" s="74" t="s">
        <v>2504</v>
      </c>
      <c r="D113" s="73" t="s">
        <v>2505</v>
      </c>
      <c r="E113" s="74" t="s">
        <v>132</v>
      </c>
      <c r="F113" s="74">
        <v>0</v>
      </c>
      <c r="G113" s="74" t="s">
        <v>65</v>
      </c>
      <c r="H113" s="72">
        <v>4074</v>
      </c>
      <c r="I113" s="94"/>
      <c r="J113" s="96"/>
      <c r="K113" s="103"/>
    </row>
    <row r="114" ht="30" customHeight="1" spans="1:11">
      <c r="A114" s="99" t="s">
        <v>2273</v>
      </c>
      <c r="B114" s="72" t="s">
        <v>49</v>
      </c>
      <c r="C114" s="74" t="s">
        <v>2506</v>
      </c>
      <c r="D114" s="73" t="s">
        <v>2507</v>
      </c>
      <c r="E114" s="74" t="s">
        <v>132</v>
      </c>
      <c r="F114" s="74">
        <v>0</v>
      </c>
      <c r="G114" s="74" t="s">
        <v>65</v>
      </c>
      <c r="H114" s="72">
        <v>6118</v>
      </c>
      <c r="I114" s="94"/>
      <c r="J114" s="96"/>
      <c r="K114" s="103"/>
    </row>
    <row r="115" ht="30" customHeight="1" spans="1:11">
      <c r="A115" s="99" t="s">
        <v>2273</v>
      </c>
      <c r="B115" s="72" t="s">
        <v>49</v>
      </c>
      <c r="C115" s="74" t="s">
        <v>2508</v>
      </c>
      <c r="D115" s="73" t="s">
        <v>2509</v>
      </c>
      <c r="E115" s="74" t="s">
        <v>132</v>
      </c>
      <c r="F115" s="74">
        <v>0</v>
      </c>
      <c r="G115" s="74" t="s">
        <v>65</v>
      </c>
      <c r="H115" s="72">
        <v>1036</v>
      </c>
      <c r="I115" s="94"/>
      <c r="J115" s="96"/>
      <c r="K115" s="103"/>
    </row>
    <row r="116" ht="30" customHeight="1" spans="1:11">
      <c r="A116" s="99" t="s">
        <v>2273</v>
      </c>
      <c r="B116" s="72" t="s">
        <v>49</v>
      </c>
      <c r="C116" s="74" t="s">
        <v>2510</v>
      </c>
      <c r="D116" s="73" t="s">
        <v>2511</v>
      </c>
      <c r="E116" s="74" t="s">
        <v>132</v>
      </c>
      <c r="F116" s="74">
        <v>0</v>
      </c>
      <c r="G116" s="74" t="s">
        <v>65</v>
      </c>
      <c r="H116" s="72">
        <v>17416</v>
      </c>
      <c r="I116" s="94"/>
      <c r="J116" s="96"/>
      <c r="K116" s="103"/>
    </row>
    <row r="117" ht="30" customHeight="1" spans="1:11">
      <c r="A117" s="99" t="s">
        <v>2273</v>
      </c>
      <c r="B117" s="72" t="s">
        <v>49</v>
      </c>
      <c r="C117" s="74" t="s">
        <v>2512</v>
      </c>
      <c r="D117" s="73" t="s">
        <v>2513</v>
      </c>
      <c r="E117" s="74" t="s">
        <v>132</v>
      </c>
      <c r="F117" s="74">
        <v>0</v>
      </c>
      <c r="G117" s="74" t="s">
        <v>65</v>
      </c>
      <c r="H117" s="72">
        <v>868</v>
      </c>
      <c r="I117" s="94"/>
      <c r="J117" s="96"/>
      <c r="K117" s="103"/>
    </row>
    <row r="118" ht="30" customHeight="1" spans="1:11">
      <c r="A118" s="99" t="s">
        <v>2273</v>
      </c>
      <c r="B118" s="72" t="s">
        <v>49</v>
      </c>
      <c r="C118" s="74" t="s">
        <v>2514</v>
      </c>
      <c r="D118" s="73" t="s">
        <v>2515</v>
      </c>
      <c r="E118" s="74" t="s">
        <v>132</v>
      </c>
      <c r="F118" s="74">
        <v>0</v>
      </c>
      <c r="G118" s="74" t="s">
        <v>65</v>
      </c>
      <c r="H118" s="72">
        <v>7840</v>
      </c>
      <c r="I118" s="94"/>
      <c r="J118" s="96"/>
      <c r="K118" s="103"/>
    </row>
    <row r="119" ht="30" customHeight="1" spans="1:11">
      <c r="A119" s="99" t="s">
        <v>2273</v>
      </c>
      <c r="B119" s="72" t="s">
        <v>49</v>
      </c>
      <c r="C119" s="74" t="s">
        <v>2516</v>
      </c>
      <c r="D119" s="73" t="s">
        <v>2517</v>
      </c>
      <c r="E119" s="74" t="s">
        <v>132</v>
      </c>
      <c r="F119" s="74">
        <v>0</v>
      </c>
      <c r="G119" s="74" t="s">
        <v>65</v>
      </c>
      <c r="H119" s="72">
        <v>868</v>
      </c>
      <c r="I119" s="94"/>
      <c r="J119" s="96"/>
      <c r="K119" s="103"/>
    </row>
    <row r="120" ht="30" customHeight="1" spans="1:11">
      <c r="A120" s="99" t="s">
        <v>2273</v>
      </c>
      <c r="B120" s="72" t="s">
        <v>49</v>
      </c>
      <c r="C120" s="74" t="s">
        <v>2518</v>
      </c>
      <c r="D120" s="73" t="s">
        <v>2519</v>
      </c>
      <c r="E120" s="74" t="s">
        <v>132</v>
      </c>
      <c r="F120" s="74">
        <v>0</v>
      </c>
      <c r="G120" s="74" t="s">
        <v>65</v>
      </c>
      <c r="H120" s="72">
        <v>52262</v>
      </c>
      <c r="I120" s="94"/>
      <c r="J120" s="96"/>
      <c r="K120" s="103"/>
    </row>
    <row r="121" ht="30" customHeight="1" spans="1:11">
      <c r="A121" s="99" t="s">
        <v>2273</v>
      </c>
      <c r="B121" s="72" t="s">
        <v>49</v>
      </c>
      <c r="C121" s="74" t="s">
        <v>2520</v>
      </c>
      <c r="D121" s="73" t="s">
        <v>2521</v>
      </c>
      <c r="E121" s="74" t="s">
        <v>132</v>
      </c>
      <c r="F121" s="74">
        <v>0</v>
      </c>
      <c r="G121" s="74" t="s">
        <v>65</v>
      </c>
      <c r="H121" s="72">
        <v>1736</v>
      </c>
      <c r="I121" s="94"/>
      <c r="J121" s="96"/>
      <c r="K121" s="103"/>
    </row>
    <row r="122" ht="30" customHeight="1" spans="1:11">
      <c r="A122" s="99" t="s">
        <v>2273</v>
      </c>
      <c r="B122" s="72" t="s">
        <v>49</v>
      </c>
      <c r="C122" s="74" t="s">
        <v>2522</v>
      </c>
      <c r="D122" s="73" t="s">
        <v>2523</v>
      </c>
      <c r="E122" s="74" t="s">
        <v>132</v>
      </c>
      <c r="F122" s="74">
        <v>0</v>
      </c>
      <c r="G122" s="74" t="s">
        <v>65</v>
      </c>
      <c r="H122" s="72">
        <v>34846</v>
      </c>
      <c r="I122" s="94"/>
      <c r="J122" s="96"/>
      <c r="K122" s="103"/>
    </row>
    <row r="123" ht="30" customHeight="1" spans="1:11">
      <c r="A123" s="99" t="s">
        <v>2273</v>
      </c>
      <c r="B123" s="72" t="s">
        <v>49</v>
      </c>
      <c r="C123" s="74" t="s">
        <v>2524</v>
      </c>
      <c r="D123" s="73" t="s">
        <v>2525</v>
      </c>
      <c r="E123" s="74" t="s">
        <v>132</v>
      </c>
      <c r="F123" s="74">
        <v>0</v>
      </c>
      <c r="G123" s="74" t="s">
        <v>65</v>
      </c>
      <c r="H123" s="72">
        <v>4354</v>
      </c>
      <c r="I123" s="94"/>
      <c r="J123" s="96"/>
      <c r="K123" s="103"/>
    </row>
    <row r="124" ht="30" customHeight="1" spans="1:11">
      <c r="A124" s="99" t="s">
        <v>2273</v>
      </c>
      <c r="B124" s="72" t="s">
        <v>49</v>
      </c>
      <c r="C124" s="74" t="s">
        <v>2526</v>
      </c>
      <c r="D124" s="73" t="s">
        <v>2527</v>
      </c>
      <c r="E124" s="74" t="s">
        <v>132</v>
      </c>
      <c r="F124" s="74">
        <v>0</v>
      </c>
      <c r="G124" s="74" t="s">
        <v>65</v>
      </c>
      <c r="H124" s="72">
        <v>2618</v>
      </c>
      <c r="I124" s="94"/>
      <c r="J124" s="96"/>
      <c r="K124" s="103"/>
    </row>
    <row r="125" ht="30" customHeight="1" spans="1:11">
      <c r="A125" s="99" t="s">
        <v>2273</v>
      </c>
      <c r="B125" s="72" t="s">
        <v>49</v>
      </c>
      <c r="C125" s="74" t="s">
        <v>2528</v>
      </c>
      <c r="D125" s="73" t="s">
        <v>2529</v>
      </c>
      <c r="E125" s="74" t="s">
        <v>132</v>
      </c>
      <c r="F125" s="74">
        <v>0</v>
      </c>
      <c r="G125" s="74" t="s">
        <v>65</v>
      </c>
      <c r="H125" s="72">
        <v>17416</v>
      </c>
      <c r="I125" s="94"/>
      <c r="J125" s="96"/>
      <c r="K125" s="103"/>
    </row>
    <row r="126" ht="30" customHeight="1" spans="1:11">
      <c r="A126" s="99" t="s">
        <v>2273</v>
      </c>
      <c r="B126" s="72" t="s">
        <v>49</v>
      </c>
      <c r="C126" s="74" t="s">
        <v>2530</v>
      </c>
      <c r="D126" s="73" t="s">
        <v>2531</v>
      </c>
      <c r="E126" s="74" t="s">
        <v>132</v>
      </c>
      <c r="F126" s="74">
        <v>0</v>
      </c>
      <c r="G126" s="74" t="s">
        <v>65</v>
      </c>
      <c r="H126" s="72">
        <v>518</v>
      </c>
      <c r="I126" s="94"/>
      <c r="J126" s="96"/>
      <c r="K126" s="103"/>
    </row>
    <row r="127" ht="30" customHeight="1" spans="1:11">
      <c r="A127" s="99" t="s">
        <v>2273</v>
      </c>
      <c r="B127" s="72" t="s">
        <v>49</v>
      </c>
      <c r="C127" s="74" t="s">
        <v>2532</v>
      </c>
      <c r="D127" s="73" t="s">
        <v>2533</v>
      </c>
      <c r="E127" s="74" t="s">
        <v>132</v>
      </c>
      <c r="F127" s="74">
        <v>0</v>
      </c>
      <c r="G127" s="74" t="s">
        <v>65</v>
      </c>
      <c r="H127" s="72">
        <v>174230</v>
      </c>
      <c r="I127" s="94"/>
      <c r="J127" s="96"/>
      <c r="K127" s="103"/>
    </row>
    <row r="128" ht="30" customHeight="1" spans="1:11">
      <c r="A128" s="99" t="s">
        <v>2273</v>
      </c>
      <c r="B128" s="72" t="s">
        <v>49</v>
      </c>
      <c r="C128" s="74" t="s">
        <v>2534</v>
      </c>
      <c r="D128" s="73" t="s">
        <v>2535</v>
      </c>
      <c r="E128" s="74" t="s">
        <v>132</v>
      </c>
      <c r="F128" s="74">
        <v>0</v>
      </c>
      <c r="G128" s="74" t="s">
        <v>65</v>
      </c>
      <c r="H128" s="72">
        <v>10458</v>
      </c>
      <c r="I128" s="94"/>
      <c r="J128" s="96"/>
      <c r="K128" s="103"/>
    </row>
    <row r="129" ht="30" customHeight="1" spans="1:11">
      <c r="A129" s="99" t="s">
        <v>2273</v>
      </c>
      <c r="B129" s="72" t="s">
        <v>49</v>
      </c>
      <c r="C129" s="74" t="s">
        <v>2536</v>
      </c>
      <c r="D129" s="73" t="s">
        <v>2537</v>
      </c>
      <c r="E129" s="74" t="s">
        <v>132</v>
      </c>
      <c r="F129" s="74">
        <v>0</v>
      </c>
      <c r="G129" s="74" t="s">
        <v>65</v>
      </c>
      <c r="H129" s="72">
        <v>1302</v>
      </c>
      <c r="I129" s="94"/>
      <c r="J129" s="96"/>
      <c r="K129" s="103"/>
    </row>
    <row r="130" ht="30" customHeight="1" spans="1:11">
      <c r="A130" s="99" t="s">
        <v>2273</v>
      </c>
      <c r="B130" s="72" t="s">
        <v>49</v>
      </c>
      <c r="C130" s="74" t="s">
        <v>2538</v>
      </c>
      <c r="D130" s="73" t="s">
        <v>2539</v>
      </c>
      <c r="E130" s="74" t="s">
        <v>132</v>
      </c>
      <c r="F130" s="74">
        <v>0</v>
      </c>
      <c r="G130" s="74" t="s">
        <v>65</v>
      </c>
      <c r="H130" s="72">
        <v>69692</v>
      </c>
      <c r="I130" s="94"/>
      <c r="J130" s="96"/>
      <c r="K130" s="103"/>
    </row>
    <row r="131" ht="30" customHeight="1" spans="1:11">
      <c r="A131" s="99" t="s">
        <v>2273</v>
      </c>
      <c r="B131" s="72" t="s">
        <v>49</v>
      </c>
      <c r="C131" s="74" t="s">
        <v>2540</v>
      </c>
      <c r="D131" s="73" t="s">
        <v>2541</v>
      </c>
      <c r="E131" s="74" t="s">
        <v>132</v>
      </c>
      <c r="F131" s="74">
        <v>0</v>
      </c>
      <c r="G131" s="74" t="s">
        <v>65</v>
      </c>
      <c r="H131" s="72">
        <v>2618</v>
      </c>
      <c r="I131" s="94"/>
      <c r="J131" s="96"/>
      <c r="K131" s="103"/>
    </row>
    <row r="132" ht="30" customHeight="1" spans="1:11">
      <c r="A132" s="99" t="s">
        <v>2273</v>
      </c>
      <c r="B132" s="72" t="s">
        <v>49</v>
      </c>
      <c r="C132" s="74" t="s">
        <v>2542</v>
      </c>
      <c r="D132" s="73" t="s">
        <v>2543</v>
      </c>
      <c r="E132" s="74" t="s">
        <v>132</v>
      </c>
      <c r="F132" s="74">
        <v>0</v>
      </c>
      <c r="G132" s="74" t="s">
        <v>65</v>
      </c>
      <c r="H132" s="72">
        <v>17416</v>
      </c>
      <c r="I132" s="94"/>
      <c r="J132" s="96"/>
      <c r="K132" s="103"/>
    </row>
    <row r="133" ht="30" customHeight="1" spans="1:11">
      <c r="A133" s="99" t="s">
        <v>2273</v>
      </c>
      <c r="B133" s="72" t="s">
        <v>49</v>
      </c>
      <c r="C133" s="74" t="s">
        <v>2544</v>
      </c>
      <c r="D133" s="73" t="s">
        <v>2545</v>
      </c>
      <c r="E133" s="74" t="s">
        <v>132</v>
      </c>
      <c r="F133" s="74">
        <v>0</v>
      </c>
      <c r="G133" s="74" t="s">
        <v>65</v>
      </c>
      <c r="H133" s="72">
        <v>518</v>
      </c>
      <c r="I133" s="94"/>
      <c r="J133" s="96"/>
      <c r="K133" s="103"/>
    </row>
    <row r="134" ht="30" customHeight="1" spans="1:11">
      <c r="A134" s="99" t="s">
        <v>2273</v>
      </c>
      <c r="B134" s="72" t="s">
        <v>49</v>
      </c>
      <c r="C134" s="74" t="s">
        <v>2546</v>
      </c>
      <c r="D134" s="73" t="s">
        <v>2547</v>
      </c>
      <c r="E134" s="74" t="s">
        <v>132</v>
      </c>
      <c r="F134" s="74">
        <v>0</v>
      </c>
      <c r="G134" s="74" t="s">
        <v>65</v>
      </c>
      <c r="H134" s="72">
        <v>130676</v>
      </c>
      <c r="I134" s="94"/>
      <c r="J134" s="96"/>
      <c r="K134" s="103"/>
    </row>
    <row r="135" ht="30" customHeight="1" spans="1:11">
      <c r="A135" s="99" t="s">
        <v>2273</v>
      </c>
      <c r="B135" s="72" t="s">
        <v>49</v>
      </c>
      <c r="C135" s="74" t="s">
        <v>2548</v>
      </c>
      <c r="D135" s="73" t="s">
        <v>2549</v>
      </c>
      <c r="E135" s="74" t="s">
        <v>132</v>
      </c>
      <c r="F135" s="74">
        <v>0</v>
      </c>
      <c r="G135" s="74" t="s">
        <v>65</v>
      </c>
      <c r="H135" s="72">
        <v>10458</v>
      </c>
      <c r="I135" s="94"/>
      <c r="J135" s="96"/>
      <c r="K135" s="103"/>
    </row>
    <row r="136" ht="30" customHeight="1" spans="1:11">
      <c r="A136" s="99" t="s">
        <v>2273</v>
      </c>
      <c r="B136" s="72" t="s">
        <v>49</v>
      </c>
      <c r="C136" s="74" t="s">
        <v>2550</v>
      </c>
      <c r="D136" s="73" t="s">
        <v>2551</v>
      </c>
      <c r="E136" s="74" t="s">
        <v>132</v>
      </c>
      <c r="F136" s="74">
        <v>0</v>
      </c>
      <c r="G136" s="74" t="s">
        <v>65</v>
      </c>
      <c r="H136" s="72">
        <v>1302</v>
      </c>
      <c r="I136" s="94"/>
      <c r="J136" s="96"/>
      <c r="K136" s="103"/>
    </row>
    <row r="137" ht="30" customHeight="1" spans="1:11">
      <c r="A137" s="99" t="s">
        <v>2273</v>
      </c>
      <c r="B137" s="72" t="s">
        <v>49</v>
      </c>
      <c r="C137" s="74" t="s">
        <v>2552</v>
      </c>
      <c r="D137" s="73" t="s">
        <v>2553</v>
      </c>
      <c r="E137" s="74" t="s">
        <v>132</v>
      </c>
      <c r="F137" s="74">
        <v>0</v>
      </c>
      <c r="G137" s="74" t="s">
        <v>65</v>
      </c>
      <c r="H137" s="72">
        <v>52262</v>
      </c>
      <c r="I137" s="94"/>
      <c r="J137" s="96"/>
      <c r="K137" s="103"/>
    </row>
    <row r="138" ht="30" customHeight="1" spans="1:11">
      <c r="A138" s="99" t="s">
        <v>2273</v>
      </c>
      <c r="B138" s="72" t="s">
        <v>49</v>
      </c>
      <c r="C138" s="74" t="s">
        <v>2554</v>
      </c>
      <c r="D138" s="73" t="s">
        <v>2555</v>
      </c>
      <c r="E138" s="74" t="s">
        <v>132</v>
      </c>
      <c r="F138" s="74">
        <v>0</v>
      </c>
      <c r="G138" s="74" t="s">
        <v>65</v>
      </c>
      <c r="H138" s="72">
        <v>5754</v>
      </c>
      <c r="I138" s="94"/>
      <c r="J138" s="96"/>
      <c r="K138" s="103"/>
    </row>
    <row r="139" ht="30" customHeight="1" spans="1:11">
      <c r="A139" s="99" t="s">
        <v>2273</v>
      </c>
      <c r="B139" s="72" t="s">
        <v>49</v>
      </c>
      <c r="C139" s="74" t="s">
        <v>2556</v>
      </c>
      <c r="D139" s="73" t="s">
        <v>2557</v>
      </c>
      <c r="E139" s="74" t="s">
        <v>132</v>
      </c>
      <c r="F139" s="74">
        <v>0</v>
      </c>
      <c r="G139" s="74" t="s">
        <v>65</v>
      </c>
      <c r="H139" s="72">
        <v>28742</v>
      </c>
      <c r="I139" s="94"/>
      <c r="J139" s="96"/>
      <c r="K139" s="103"/>
    </row>
    <row r="140" ht="30" customHeight="1" spans="1:11">
      <c r="A140" s="99" t="s">
        <v>2273</v>
      </c>
      <c r="B140" s="72" t="s">
        <v>49</v>
      </c>
      <c r="C140" s="74" t="s">
        <v>2558</v>
      </c>
      <c r="D140" s="73" t="s">
        <v>2559</v>
      </c>
      <c r="E140" s="74" t="s">
        <v>132</v>
      </c>
      <c r="F140" s="74">
        <v>0</v>
      </c>
      <c r="G140" s="74" t="s">
        <v>65</v>
      </c>
      <c r="H140" s="72">
        <v>153314</v>
      </c>
      <c r="I140" s="94"/>
      <c r="J140" s="96"/>
      <c r="K140" s="103"/>
    </row>
    <row r="141" ht="30" customHeight="1" spans="1:11">
      <c r="A141" s="99" t="s">
        <v>2273</v>
      </c>
      <c r="B141" s="72" t="s">
        <v>49</v>
      </c>
      <c r="C141" s="74" t="s">
        <v>2560</v>
      </c>
      <c r="D141" s="73" t="s">
        <v>2561</v>
      </c>
      <c r="E141" s="74" t="s">
        <v>132</v>
      </c>
      <c r="F141" s="74">
        <v>0</v>
      </c>
      <c r="G141" s="74" t="s">
        <v>65</v>
      </c>
      <c r="H141" s="72">
        <v>9576</v>
      </c>
      <c r="I141" s="94"/>
      <c r="J141" s="96"/>
      <c r="K141" s="103"/>
    </row>
    <row r="142" ht="30" customHeight="1" spans="1:11">
      <c r="A142" s="99" t="s">
        <v>2273</v>
      </c>
      <c r="B142" s="72" t="s">
        <v>49</v>
      </c>
      <c r="C142" s="74" t="s">
        <v>2562</v>
      </c>
      <c r="D142" s="73" t="s">
        <v>2563</v>
      </c>
      <c r="E142" s="74" t="s">
        <v>132</v>
      </c>
      <c r="F142" s="74">
        <v>0</v>
      </c>
      <c r="G142" s="74" t="s">
        <v>65</v>
      </c>
      <c r="H142" s="72">
        <v>19166</v>
      </c>
      <c r="I142" s="94"/>
      <c r="J142" s="96"/>
      <c r="K142" s="103"/>
    </row>
    <row r="143" ht="30" customHeight="1" spans="1:11">
      <c r="A143" s="99" t="s">
        <v>2273</v>
      </c>
      <c r="B143" s="72" t="s">
        <v>49</v>
      </c>
      <c r="C143" s="74" t="s">
        <v>2564</v>
      </c>
      <c r="D143" s="73" t="s">
        <v>2565</v>
      </c>
      <c r="E143" s="74" t="s">
        <v>132</v>
      </c>
      <c r="F143" s="74">
        <v>0</v>
      </c>
      <c r="G143" s="74" t="s">
        <v>65</v>
      </c>
      <c r="H143" s="72">
        <v>95830</v>
      </c>
      <c r="I143" s="94"/>
      <c r="J143" s="96"/>
      <c r="K143" s="103"/>
    </row>
    <row r="144" ht="30" customHeight="1" spans="1:11">
      <c r="A144" s="99" t="s">
        <v>2273</v>
      </c>
      <c r="B144" s="72" t="s">
        <v>49</v>
      </c>
      <c r="C144" s="74" t="s">
        <v>2566</v>
      </c>
      <c r="D144" s="73" t="s">
        <v>2567</v>
      </c>
      <c r="E144" s="74" t="s">
        <v>132</v>
      </c>
      <c r="F144" s="74">
        <v>0</v>
      </c>
      <c r="G144" s="74" t="s">
        <v>65</v>
      </c>
      <c r="H144" s="72">
        <v>19166</v>
      </c>
      <c r="I144" s="94"/>
      <c r="J144" s="96"/>
      <c r="K144" s="103"/>
    </row>
    <row r="145" ht="30" customHeight="1" spans="1:11">
      <c r="A145" s="99" t="s">
        <v>2273</v>
      </c>
      <c r="B145" s="72" t="s">
        <v>49</v>
      </c>
      <c r="C145" s="74" t="s">
        <v>2568</v>
      </c>
      <c r="D145" s="73" t="s">
        <v>2569</v>
      </c>
      <c r="E145" s="74" t="s">
        <v>132</v>
      </c>
      <c r="F145" s="74">
        <v>0</v>
      </c>
      <c r="G145" s="74" t="s">
        <v>65</v>
      </c>
      <c r="H145" s="72">
        <v>7672</v>
      </c>
      <c r="I145" s="94"/>
      <c r="J145" s="96"/>
      <c r="K145" s="103"/>
    </row>
    <row r="146" ht="30" customHeight="1" spans="1:11">
      <c r="A146" s="99" t="s">
        <v>2273</v>
      </c>
      <c r="B146" s="72" t="s">
        <v>49</v>
      </c>
      <c r="C146" s="74" t="s">
        <v>2570</v>
      </c>
      <c r="D146" s="73" t="s">
        <v>2571</v>
      </c>
      <c r="E146" s="74" t="s">
        <v>132</v>
      </c>
      <c r="F146" s="74">
        <v>0</v>
      </c>
      <c r="G146" s="74" t="s">
        <v>65</v>
      </c>
      <c r="H146" s="72">
        <v>11494</v>
      </c>
      <c r="I146" s="94"/>
      <c r="J146" s="96"/>
      <c r="K146" s="103"/>
    </row>
    <row r="147" ht="30" customHeight="1" spans="1:11">
      <c r="A147" s="99" t="s">
        <v>2273</v>
      </c>
      <c r="B147" s="72" t="s">
        <v>49</v>
      </c>
      <c r="C147" s="74" t="s">
        <v>2572</v>
      </c>
      <c r="D147" s="76" t="s">
        <v>2573</v>
      </c>
      <c r="E147" s="74" t="s">
        <v>132</v>
      </c>
      <c r="F147" s="74">
        <v>1</v>
      </c>
      <c r="G147" s="74" t="s">
        <v>65</v>
      </c>
      <c r="H147" s="72">
        <v>45.92</v>
      </c>
      <c r="I147" s="104"/>
      <c r="J147" s="96"/>
      <c r="K147" s="100"/>
    </row>
    <row r="148" ht="30" customHeight="1" spans="1:11">
      <c r="A148" s="99" t="s">
        <v>2273</v>
      </c>
      <c r="B148" s="72" t="s">
        <v>49</v>
      </c>
      <c r="C148" s="74" t="s">
        <v>2574</v>
      </c>
      <c r="D148" s="76" t="s">
        <v>2575</v>
      </c>
      <c r="E148" s="74" t="s">
        <v>132</v>
      </c>
      <c r="F148" s="74">
        <v>1</v>
      </c>
      <c r="G148" s="74" t="s">
        <v>65</v>
      </c>
      <c r="H148" s="72">
        <v>772.24</v>
      </c>
      <c r="I148" s="104"/>
      <c r="J148" s="96"/>
      <c r="K148" s="100"/>
    </row>
    <row r="149" ht="30" customHeight="1" spans="1:11">
      <c r="A149" s="99" t="s">
        <v>2273</v>
      </c>
      <c r="B149" s="72" t="s">
        <v>49</v>
      </c>
      <c r="C149" s="74" t="s">
        <v>2576</v>
      </c>
      <c r="D149" s="76" t="s">
        <v>2577</v>
      </c>
      <c r="E149" s="74" t="s">
        <v>132</v>
      </c>
      <c r="F149" s="74">
        <v>1</v>
      </c>
      <c r="G149" s="74" t="s">
        <v>65</v>
      </c>
      <c r="H149" s="72">
        <v>38.64</v>
      </c>
      <c r="I149" s="104"/>
      <c r="J149" s="96"/>
      <c r="K149" s="100"/>
    </row>
    <row r="150" ht="30" customHeight="1" spans="1:11">
      <c r="A150" s="99" t="s">
        <v>2273</v>
      </c>
      <c r="B150" s="72" t="s">
        <v>49</v>
      </c>
      <c r="C150" s="74" t="s">
        <v>2578</v>
      </c>
      <c r="D150" s="76" t="s">
        <v>2579</v>
      </c>
      <c r="E150" s="74" t="s">
        <v>132</v>
      </c>
      <c r="F150" s="74">
        <v>1</v>
      </c>
      <c r="G150" s="74" t="s">
        <v>65</v>
      </c>
      <c r="H150" s="72">
        <v>347.48</v>
      </c>
      <c r="I150" s="104"/>
      <c r="J150" s="96"/>
      <c r="K150" s="100"/>
    </row>
    <row r="151" ht="30" customHeight="1" spans="1:11">
      <c r="A151" s="99" t="s">
        <v>2273</v>
      </c>
      <c r="B151" s="72" t="s">
        <v>49</v>
      </c>
      <c r="C151" s="74" t="s">
        <v>2580</v>
      </c>
      <c r="D151" s="76" t="s">
        <v>2581</v>
      </c>
      <c r="E151" s="74" t="s">
        <v>132</v>
      </c>
      <c r="F151" s="74">
        <v>1</v>
      </c>
      <c r="G151" s="74" t="s">
        <v>65</v>
      </c>
      <c r="H151" s="72">
        <v>38.64</v>
      </c>
      <c r="I151" s="104"/>
      <c r="J151" s="96"/>
      <c r="K151" s="100"/>
    </row>
    <row r="152" ht="30" customHeight="1" spans="1:11">
      <c r="A152" s="99" t="s">
        <v>2273</v>
      </c>
      <c r="B152" s="72" t="s">
        <v>49</v>
      </c>
      <c r="C152" s="74" t="s">
        <v>2582</v>
      </c>
      <c r="D152" s="76" t="s">
        <v>2583</v>
      </c>
      <c r="E152" s="74" t="s">
        <v>132</v>
      </c>
      <c r="F152" s="74">
        <v>1</v>
      </c>
      <c r="G152" s="74" t="s">
        <v>65</v>
      </c>
      <c r="H152" s="72">
        <v>2316.86</v>
      </c>
      <c r="I152" s="104"/>
      <c r="J152" s="96"/>
      <c r="K152" s="100"/>
    </row>
    <row r="153" ht="30" customHeight="1" spans="1:11">
      <c r="A153" s="99" t="s">
        <v>2273</v>
      </c>
      <c r="B153" s="72" t="s">
        <v>49</v>
      </c>
      <c r="C153" s="74" t="s">
        <v>2584</v>
      </c>
      <c r="D153" s="76" t="s">
        <v>2585</v>
      </c>
      <c r="E153" s="74" t="s">
        <v>132</v>
      </c>
      <c r="F153" s="74">
        <v>1</v>
      </c>
      <c r="G153" s="74" t="s">
        <v>65</v>
      </c>
      <c r="H153" s="72">
        <v>77.28</v>
      </c>
      <c r="I153" s="104"/>
      <c r="J153" s="96"/>
      <c r="K153" s="100"/>
    </row>
    <row r="154" ht="30" customHeight="1" spans="1:11">
      <c r="A154" s="99" t="s">
        <v>2273</v>
      </c>
      <c r="B154" s="72" t="s">
        <v>49</v>
      </c>
      <c r="C154" s="74" t="s">
        <v>2586</v>
      </c>
      <c r="D154" s="76" t="s">
        <v>2587</v>
      </c>
      <c r="E154" s="74" t="s">
        <v>132</v>
      </c>
      <c r="F154" s="74">
        <v>1</v>
      </c>
      <c r="G154" s="74" t="s">
        <v>65</v>
      </c>
      <c r="H154" s="72">
        <v>1544.62</v>
      </c>
      <c r="I154" s="104"/>
      <c r="J154" s="96"/>
      <c r="K154" s="100"/>
    </row>
    <row r="155" ht="30" customHeight="1" spans="1:11">
      <c r="A155" s="99" t="s">
        <v>2273</v>
      </c>
      <c r="B155" s="72" t="s">
        <v>49</v>
      </c>
      <c r="C155" s="74" t="s">
        <v>2588</v>
      </c>
      <c r="D155" s="76" t="s">
        <v>2589</v>
      </c>
      <c r="E155" s="74" t="s">
        <v>132</v>
      </c>
      <c r="F155" s="74">
        <v>1</v>
      </c>
      <c r="G155" s="74" t="s">
        <v>65</v>
      </c>
      <c r="H155" s="72">
        <v>193.06</v>
      </c>
      <c r="I155" s="104"/>
      <c r="J155" s="96"/>
      <c r="K155" s="100"/>
    </row>
    <row r="156" ht="30" customHeight="1" spans="1:11">
      <c r="A156" s="99" t="s">
        <v>2273</v>
      </c>
      <c r="B156" s="72" t="s">
        <v>49</v>
      </c>
      <c r="C156" s="74" t="s">
        <v>2590</v>
      </c>
      <c r="D156" s="76" t="s">
        <v>2591</v>
      </c>
      <c r="E156" s="74" t="s">
        <v>132</v>
      </c>
      <c r="F156" s="74">
        <v>1</v>
      </c>
      <c r="G156" s="74" t="s">
        <v>65</v>
      </c>
      <c r="H156" s="72">
        <v>115.78</v>
      </c>
      <c r="I156" s="104"/>
      <c r="J156" s="96"/>
      <c r="K156" s="100"/>
    </row>
    <row r="157" ht="30" customHeight="1" spans="1:11">
      <c r="A157" s="99" t="s">
        <v>2273</v>
      </c>
      <c r="B157" s="72" t="s">
        <v>49</v>
      </c>
      <c r="C157" s="74" t="s">
        <v>2592</v>
      </c>
      <c r="D157" s="76" t="s">
        <v>2593</v>
      </c>
      <c r="E157" s="74" t="s">
        <v>132</v>
      </c>
      <c r="F157" s="74">
        <v>1</v>
      </c>
      <c r="G157" s="74" t="s">
        <v>65</v>
      </c>
      <c r="H157" s="72">
        <v>772.24</v>
      </c>
      <c r="I157" s="104"/>
      <c r="J157" s="96"/>
      <c r="K157" s="100"/>
    </row>
    <row r="158" ht="30" customHeight="1" spans="1:11">
      <c r="A158" s="99" t="s">
        <v>2273</v>
      </c>
      <c r="B158" s="72" t="s">
        <v>49</v>
      </c>
      <c r="C158" s="74" t="s">
        <v>2594</v>
      </c>
      <c r="D158" s="76" t="s">
        <v>2595</v>
      </c>
      <c r="E158" s="74" t="s">
        <v>132</v>
      </c>
      <c r="F158" s="74">
        <v>1</v>
      </c>
      <c r="G158" s="74" t="s">
        <v>65</v>
      </c>
      <c r="H158" s="72">
        <v>23.1</v>
      </c>
      <c r="I158" s="104"/>
      <c r="J158" s="96"/>
      <c r="K158" s="100"/>
    </row>
    <row r="159" ht="30" customHeight="1" spans="1:11">
      <c r="A159" s="99" t="s">
        <v>2273</v>
      </c>
      <c r="B159" s="72" t="s">
        <v>49</v>
      </c>
      <c r="C159" s="74" t="s">
        <v>2596</v>
      </c>
      <c r="D159" s="76" t="s">
        <v>2597</v>
      </c>
      <c r="E159" s="74" t="s">
        <v>132</v>
      </c>
      <c r="F159" s="74">
        <v>1</v>
      </c>
      <c r="G159" s="74" t="s">
        <v>65</v>
      </c>
      <c r="H159" s="72">
        <v>7722.82</v>
      </c>
      <c r="I159" s="104"/>
      <c r="J159" s="96"/>
      <c r="K159" s="100"/>
    </row>
    <row r="160" ht="30" customHeight="1" spans="1:11">
      <c r="A160" s="99" t="s">
        <v>2273</v>
      </c>
      <c r="B160" s="72" t="s">
        <v>49</v>
      </c>
      <c r="C160" s="74" t="s">
        <v>2598</v>
      </c>
      <c r="D160" s="76" t="s">
        <v>2599</v>
      </c>
      <c r="E160" s="74" t="s">
        <v>132</v>
      </c>
      <c r="F160" s="74">
        <v>1</v>
      </c>
      <c r="G160" s="74" t="s">
        <v>65</v>
      </c>
      <c r="H160" s="72">
        <v>463.4</v>
      </c>
      <c r="I160" s="104"/>
      <c r="J160" s="96"/>
      <c r="K160" s="100"/>
    </row>
    <row r="161" ht="30" customHeight="1" spans="1:11">
      <c r="A161" s="99" t="s">
        <v>2273</v>
      </c>
      <c r="B161" s="72" t="s">
        <v>49</v>
      </c>
      <c r="C161" s="74" t="s">
        <v>2600</v>
      </c>
      <c r="D161" s="76" t="s">
        <v>2601</v>
      </c>
      <c r="E161" s="74" t="s">
        <v>132</v>
      </c>
      <c r="F161" s="74">
        <v>1</v>
      </c>
      <c r="G161" s="74" t="s">
        <v>65</v>
      </c>
      <c r="H161" s="72">
        <v>57.96</v>
      </c>
      <c r="I161" s="104"/>
      <c r="J161" s="96"/>
      <c r="K161" s="100"/>
    </row>
    <row r="162" ht="30" customHeight="1" spans="1:11">
      <c r="A162" s="99" t="s">
        <v>2273</v>
      </c>
      <c r="B162" s="72" t="s">
        <v>49</v>
      </c>
      <c r="C162" s="74" t="s">
        <v>2602</v>
      </c>
      <c r="D162" s="76" t="s">
        <v>2603</v>
      </c>
      <c r="E162" s="74" t="s">
        <v>132</v>
      </c>
      <c r="F162" s="74">
        <v>1</v>
      </c>
      <c r="G162" s="74" t="s">
        <v>65</v>
      </c>
      <c r="H162" s="72">
        <v>3089.1</v>
      </c>
      <c r="I162" s="104"/>
      <c r="J162" s="96"/>
      <c r="K162" s="100"/>
    </row>
    <row r="163" ht="30" customHeight="1" spans="1:11">
      <c r="A163" s="99" t="s">
        <v>2273</v>
      </c>
      <c r="B163" s="72" t="s">
        <v>49</v>
      </c>
      <c r="C163" s="74" t="s">
        <v>2604</v>
      </c>
      <c r="D163" s="76" t="s">
        <v>2605</v>
      </c>
      <c r="E163" s="74" t="s">
        <v>132</v>
      </c>
      <c r="F163" s="74">
        <v>1</v>
      </c>
      <c r="G163" s="74" t="s">
        <v>65</v>
      </c>
      <c r="H163" s="72">
        <v>115.78</v>
      </c>
      <c r="I163" s="104"/>
      <c r="J163" s="96"/>
      <c r="K163" s="100"/>
    </row>
    <row r="164" ht="30" customHeight="1" spans="1:11">
      <c r="A164" s="99" t="s">
        <v>2273</v>
      </c>
      <c r="B164" s="72" t="s">
        <v>49</v>
      </c>
      <c r="C164" s="74" t="s">
        <v>2606</v>
      </c>
      <c r="D164" s="76" t="s">
        <v>2607</v>
      </c>
      <c r="E164" s="74" t="s">
        <v>132</v>
      </c>
      <c r="F164" s="74">
        <v>1</v>
      </c>
      <c r="G164" s="74" t="s">
        <v>65</v>
      </c>
      <c r="H164" s="72">
        <v>772.24</v>
      </c>
      <c r="I164" s="104"/>
      <c r="J164" s="96"/>
      <c r="K164" s="100"/>
    </row>
    <row r="165" ht="30" customHeight="1" spans="1:11">
      <c r="A165" s="99" t="s">
        <v>2273</v>
      </c>
      <c r="B165" s="72" t="s">
        <v>49</v>
      </c>
      <c r="C165" s="74" t="s">
        <v>2608</v>
      </c>
      <c r="D165" s="76" t="s">
        <v>2609</v>
      </c>
      <c r="E165" s="74" t="s">
        <v>132</v>
      </c>
      <c r="F165" s="74">
        <v>1</v>
      </c>
      <c r="G165" s="74" t="s">
        <v>65</v>
      </c>
      <c r="H165" s="72">
        <v>23.1</v>
      </c>
      <c r="I165" s="104"/>
      <c r="J165" s="96"/>
      <c r="K165" s="100"/>
    </row>
    <row r="166" ht="30" customHeight="1" spans="1:11">
      <c r="A166" s="99" t="s">
        <v>2273</v>
      </c>
      <c r="B166" s="72" t="s">
        <v>49</v>
      </c>
      <c r="C166" s="74" t="s">
        <v>2610</v>
      </c>
      <c r="D166" s="76" t="s">
        <v>2611</v>
      </c>
      <c r="E166" s="74" t="s">
        <v>132</v>
      </c>
      <c r="F166" s="74">
        <v>1</v>
      </c>
      <c r="G166" s="74" t="s">
        <v>65</v>
      </c>
      <c r="H166" s="72">
        <v>5792.22</v>
      </c>
      <c r="I166" s="104"/>
      <c r="J166" s="96"/>
      <c r="K166" s="100"/>
    </row>
    <row r="167" ht="30" customHeight="1" spans="1:11">
      <c r="A167" s="99" t="s">
        <v>2273</v>
      </c>
      <c r="B167" s="72" t="s">
        <v>49</v>
      </c>
      <c r="C167" s="74" t="s">
        <v>2612</v>
      </c>
      <c r="D167" s="76" t="s">
        <v>2613</v>
      </c>
      <c r="E167" s="74" t="s">
        <v>132</v>
      </c>
      <c r="F167" s="74">
        <v>1</v>
      </c>
      <c r="G167" s="74" t="s">
        <v>65</v>
      </c>
      <c r="H167" s="72">
        <v>463.4</v>
      </c>
      <c r="I167" s="104"/>
      <c r="J167" s="96"/>
      <c r="K167" s="100"/>
    </row>
    <row r="168" ht="30" customHeight="1" spans="1:11">
      <c r="A168" s="99" t="s">
        <v>2273</v>
      </c>
      <c r="B168" s="72" t="s">
        <v>49</v>
      </c>
      <c r="C168" s="74" t="s">
        <v>2614</v>
      </c>
      <c r="D168" s="76" t="s">
        <v>2615</v>
      </c>
      <c r="E168" s="74" t="s">
        <v>132</v>
      </c>
      <c r="F168" s="74">
        <v>1</v>
      </c>
      <c r="G168" s="74" t="s">
        <v>65</v>
      </c>
      <c r="H168" s="72">
        <v>57.96</v>
      </c>
      <c r="I168" s="104"/>
      <c r="J168" s="96"/>
      <c r="K168" s="100"/>
    </row>
    <row r="169" ht="30" customHeight="1" spans="1:11">
      <c r="A169" s="99" t="s">
        <v>2273</v>
      </c>
      <c r="B169" s="72" t="s">
        <v>49</v>
      </c>
      <c r="C169" s="74" t="s">
        <v>2616</v>
      </c>
      <c r="D169" s="76" t="s">
        <v>2617</v>
      </c>
      <c r="E169" s="74" t="s">
        <v>132</v>
      </c>
      <c r="F169" s="74">
        <v>1</v>
      </c>
      <c r="G169" s="74" t="s">
        <v>65</v>
      </c>
      <c r="H169" s="72">
        <v>2316.86</v>
      </c>
      <c r="I169" s="104"/>
      <c r="J169" s="96"/>
      <c r="K169" s="100"/>
    </row>
    <row r="170" ht="30" customHeight="1" spans="1:11">
      <c r="A170" s="99" t="s">
        <v>2273</v>
      </c>
      <c r="B170" s="72" t="s">
        <v>49</v>
      </c>
      <c r="C170" s="74" t="s">
        <v>2618</v>
      </c>
      <c r="D170" s="76" t="s">
        <v>2619</v>
      </c>
      <c r="E170" s="74" t="s">
        <v>132</v>
      </c>
      <c r="F170" s="74">
        <v>1</v>
      </c>
      <c r="G170" s="74" t="s">
        <v>65</v>
      </c>
      <c r="H170" s="72">
        <v>1274.28</v>
      </c>
      <c r="I170" s="104"/>
      <c r="J170" s="96"/>
      <c r="K170" s="100"/>
    </row>
    <row r="171" ht="30" customHeight="1" spans="1:11">
      <c r="A171" s="99" t="s">
        <v>2273</v>
      </c>
      <c r="B171" s="72" t="s">
        <v>49</v>
      </c>
      <c r="C171" s="74" t="s">
        <v>2620</v>
      </c>
      <c r="D171" s="76" t="s">
        <v>2621</v>
      </c>
      <c r="E171" s="74" t="s">
        <v>132</v>
      </c>
      <c r="F171" s="74">
        <v>1</v>
      </c>
      <c r="G171" s="74" t="s">
        <v>65</v>
      </c>
      <c r="H171" s="72">
        <v>254.8</v>
      </c>
      <c r="I171" s="104"/>
      <c r="J171" s="96"/>
      <c r="K171" s="100"/>
    </row>
    <row r="172" ht="30" customHeight="1" spans="1:11">
      <c r="A172" s="99" t="s">
        <v>2273</v>
      </c>
      <c r="B172" s="72" t="s">
        <v>49</v>
      </c>
      <c r="C172" s="74" t="s">
        <v>2622</v>
      </c>
      <c r="D172" s="76" t="s">
        <v>2623</v>
      </c>
      <c r="E172" s="74" t="s">
        <v>132</v>
      </c>
      <c r="F172" s="74">
        <v>1</v>
      </c>
      <c r="G172" s="74" t="s">
        <v>65</v>
      </c>
      <c r="H172" s="72">
        <v>6796.16</v>
      </c>
      <c r="I172" s="104"/>
      <c r="J172" s="96"/>
      <c r="K172" s="100"/>
    </row>
    <row r="173" ht="30" customHeight="1" spans="1:11">
      <c r="A173" s="99" t="s">
        <v>2273</v>
      </c>
      <c r="B173" s="72" t="s">
        <v>49</v>
      </c>
      <c r="C173" s="74" t="s">
        <v>2624</v>
      </c>
      <c r="D173" s="76" t="s">
        <v>2625</v>
      </c>
      <c r="E173" s="74" t="s">
        <v>132</v>
      </c>
      <c r="F173" s="74">
        <v>1</v>
      </c>
      <c r="G173" s="74" t="s">
        <v>65</v>
      </c>
      <c r="H173" s="72">
        <v>424.76</v>
      </c>
      <c r="I173" s="104"/>
      <c r="J173" s="96"/>
      <c r="K173" s="100"/>
    </row>
    <row r="174" ht="30" customHeight="1" spans="1:11">
      <c r="A174" s="99" t="s">
        <v>2273</v>
      </c>
      <c r="B174" s="72" t="s">
        <v>49</v>
      </c>
      <c r="C174" s="74" t="s">
        <v>2626</v>
      </c>
      <c r="D174" s="76" t="s">
        <v>2627</v>
      </c>
      <c r="E174" s="74" t="s">
        <v>132</v>
      </c>
      <c r="F174" s="74">
        <v>1</v>
      </c>
      <c r="G174" s="74" t="s">
        <v>65</v>
      </c>
      <c r="H174" s="72">
        <v>4247.6</v>
      </c>
      <c r="I174" s="104"/>
      <c r="J174" s="96"/>
      <c r="K174" s="100"/>
    </row>
    <row r="175" ht="30" customHeight="1" spans="1:11">
      <c r="A175" s="99" t="s">
        <v>2273</v>
      </c>
      <c r="B175" s="72" t="s">
        <v>49</v>
      </c>
      <c r="C175" s="74" t="s">
        <v>2628</v>
      </c>
      <c r="D175" s="76" t="s">
        <v>2629</v>
      </c>
      <c r="E175" s="74" t="s">
        <v>132</v>
      </c>
      <c r="F175" s="74">
        <v>1</v>
      </c>
      <c r="G175" s="74" t="s">
        <v>65</v>
      </c>
      <c r="H175" s="72">
        <v>849.52</v>
      </c>
      <c r="I175" s="104"/>
      <c r="J175" s="96"/>
      <c r="K175" s="100"/>
    </row>
    <row r="176" ht="30" customHeight="1" spans="1:11">
      <c r="A176" s="99" t="s">
        <v>2273</v>
      </c>
      <c r="B176" s="72" t="s">
        <v>49</v>
      </c>
      <c r="C176" s="74" t="s">
        <v>2630</v>
      </c>
      <c r="D176" s="76" t="s">
        <v>2631</v>
      </c>
      <c r="E176" s="74" t="s">
        <v>132</v>
      </c>
      <c r="F176" s="74">
        <v>1</v>
      </c>
      <c r="G176" s="74" t="s">
        <v>65</v>
      </c>
      <c r="H176" s="72">
        <v>849.52</v>
      </c>
      <c r="I176" s="104"/>
      <c r="J176" s="96"/>
      <c r="K176" s="100"/>
    </row>
    <row r="177" ht="30" customHeight="1" spans="1:11">
      <c r="A177" s="99" t="s">
        <v>2273</v>
      </c>
      <c r="B177" s="72" t="s">
        <v>49</v>
      </c>
      <c r="C177" s="74" t="s">
        <v>2632</v>
      </c>
      <c r="D177" s="76" t="s">
        <v>2633</v>
      </c>
      <c r="E177" s="74" t="s">
        <v>132</v>
      </c>
      <c r="F177" s="74">
        <v>1</v>
      </c>
      <c r="G177" s="74" t="s">
        <v>65</v>
      </c>
      <c r="H177" s="72">
        <v>339.78</v>
      </c>
      <c r="I177" s="104"/>
      <c r="J177" s="96"/>
      <c r="K177" s="100"/>
    </row>
    <row r="178" ht="30" customHeight="1" spans="1:11">
      <c r="A178" s="99" t="s">
        <v>2273</v>
      </c>
      <c r="B178" s="72" t="s">
        <v>49</v>
      </c>
      <c r="C178" s="74" t="s">
        <v>2634</v>
      </c>
      <c r="D178" s="76" t="s">
        <v>2635</v>
      </c>
      <c r="E178" s="74" t="s">
        <v>132</v>
      </c>
      <c r="F178" s="74">
        <v>1</v>
      </c>
      <c r="G178" s="74" t="s">
        <v>65</v>
      </c>
      <c r="H178" s="72">
        <v>509.74</v>
      </c>
      <c r="I178" s="104"/>
      <c r="J178" s="96"/>
      <c r="K178" s="100"/>
    </row>
  </sheetData>
  <autoFilter xmlns:etc="http://www.wps.cn/officeDocument/2017/etCustomData" ref="A1:J178" etc:filterBottomFollowUsedRange="0">
    <extLst/>
  </autoFilter>
  <pageMargins left="0.75" right="0.75" top="1" bottom="1" header="0.5" footer="0.5"/>
  <pageSetup paperSize="1" scale="73" fitToHeight="9" orientation="landscape"/>
  <headerFooter alignWithMargins="0">
    <oddHeader>&amp;C&amp;"Arial,Bold"&amp;12 OmniVista 2500Worldwide Price List - February 2015&amp;RAs of 02/09/2015</oddHeader>
    <oddFooter>&amp;CAlcatel-Lucent - Enterprise Solutions Division - Confidential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>
    <tabColor indexed="20"/>
  </sheetPr>
  <dimension ref="A1:K4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R24" sqref="R24"/>
    </sheetView>
  </sheetViews>
  <sheetFormatPr defaultColWidth="8.66371681415929" defaultRowHeight="12.75"/>
  <cols>
    <col min="1" max="1" width="33.6637168141593" style="64" customWidth="1"/>
    <col min="2" max="2" width="20.1681415929204" style="64" customWidth="1"/>
    <col min="3" max="3" width="18.6637168141593" style="64" customWidth="1"/>
    <col min="4" max="4" width="62" style="65" customWidth="1"/>
    <col min="5" max="5" width="8.16814159292035" style="64" customWidth="1"/>
    <col min="6" max="6" width="8.16814159292035" style="66" customWidth="1"/>
    <col min="7" max="7" width="10.1681415929204" style="64" customWidth="1"/>
    <col min="8" max="8" width="13.6637168141593" style="89" customWidth="1"/>
    <col min="9" max="9" width="10.1681415929204" style="64" customWidth="1"/>
    <col min="10" max="10" width="11.1681415929204" style="64" customWidth="1"/>
  </cols>
  <sheetData>
    <row r="1" s="63" customFormat="1" ht="13.85" spans="1:11">
      <c r="A1" s="90" t="s">
        <v>50</v>
      </c>
      <c r="B1" s="91" t="s">
        <v>51</v>
      </c>
      <c r="C1" s="90" t="s">
        <v>52</v>
      </c>
      <c r="D1" s="90" t="s">
        <v>53</v>
      </c>
      <c r="E1" s="69" t="s">
        <v>54</v>
      </c>
      <c r="F1" s="71" t="s">
        <v>55</v>
      </c>
      <c r="G1" s="69" t="s">
        <v>56</v>
      </c>
      <c r="H1" s="92" t="s">
        <v>57</v>
      </c>
      <c r="I1" s="69" t="s">
        <v>58</v>
      </c>
      <c r="J1" s="70" t="s">
        <v>59</v>
      </c>
      <c r="K1" s="70" t="s">
        <v>60</v>
      </c>
    </row>
    <row r="2" ht="59" customHeight="1" spans="1:11">
      <c r="A2" s="72" t="s">
        <v>2636</v>
      </c>
      <c r="B2" s="72" t="s">
        <v>44</v>
      </c>
      <c r="C2" s="72" t="s">
        <v>2637</v>
      </c>
      <c r="D2" s="73" t="s">
        <v>2638</v>
      </c>
      <c r="E2" s="72" t="s">
        <v>1629</v>
      </c>
      <c r="F2" s="93">
        <v>5</v>
      </c>
      <c r="G2" s="72" t="s">
        <v>65</v>
      </c>
      <c r="H2" s="72">
        <v>1811</v>
      </c>
      <c r="I2" s="94"/>
      <c r="J2" s="72"/>
      <c r="K2" s="95"/>
    </row>
    <row r="3" ht="42" customHeight="1" spans="1:11">
      <c r="A3" s="72" t="s">
        <v>2636</v>
      </c>
      <c r="B3" s="72" t="s">
        <v>44</v>
      </c>
      <c r="C3" s="72" t="s">
        <v>2639</v>
      </c>
      <c r="D3" s="73" t="s">
        <v>2640</v>
      </c>
      <c r="E3" s="72" t="s">
        <v>1629</v>
      </c>
      <c r="F3" s="74">
        <v>5</v>
      </c>
      <c r="G3" s="72" t="s">
        <v>65</v>
      </c>
      <c r="H3" s="72">
        <v>19923</v>
      </c>
      <c r="I3" s="94"/>
      <c r="J3" s="72"/>
      <c r="K3" s="95"/>
    </row>
    <row r="4" ht="15" customHeight="1" spans="1:11">
      <c r="A4" s="72" t="s">
        <v>2641</v>
      </c>
      <c r="B4" s="72" t="s">
        <v>44</v>
      </c>
      <c r="C4" s="72" t="s">
        <v>2642</v>
      </c>
      <c r="D4" s="73" t="s">
        <v>2643</v>
      </c>
      <c r="E4" s="72" t="s">
        <v>1629</v>
      </c>
      <c r="F4" s="74">
        <v>5</v>
      </c>
      <c r="G4" s="72" t="s">
        <v>65</v>
      </c>
      <c r="H4" s="72">
        <v>65084</v>
      </c>
      <c r="I4" s="94"/>
      <c r="J4" s="72"/>
      <c r="K4" s="95"/>
    </row>
    <row r="5" ht="15" customHeight="1" spans="1:11">
      <c r="A5" s="72" t="s">
        <v>2641</v>
      </c>
      <c r="B5" s="72" t="s">
        <v>44</v>
      </c>
      <c r="C5" s="72" t="s">
        <v>2644</v>
      </c>
      <c r="D5" s="73" t="s">
        <v>2645</v>
      </c>
      <c r="E5" s="72" t="s">
        <v>1629</v>
      </c>
      <c r="F5" s="74">
        <v>5</v>
      </c>
      <c r="G5" s="72" t="s">
        <v>65</v>
      </c>
      <c r="H5" s="72">
        <v>108554</v>
      </c>
      <c r="I5" s="94"/>
      <c r="J5" s="72"/>
      <c r="K5" s="95"/>
    </row>
    <row r="6" ht="15" customHeight="1" spans="1:11">
      <c r="A6" s="72" t="s">
        <v>2641</v>
      </c>
      <c r="B6" s="72" t="s">
        <v>44</v>
      </c>
      <c r="C6" s="72" t="s">
        <v>2646</v>
      </c>
      <c r="D6" s="73" t="s">
        <v>2647</v>
      </c>
      <c r="E6" s="72" t="s">
        <v>1629</v>
      </c>
      <c r="F6" s="74">
        <v>5</v>
      </c>
      <c r="G6" s="72" t="s">
        <v>65</v>
      </c>
      <c r="H6" s="72">
        <v>36104</v>
      </c>
      <c r="I6" s="94"/>
      <c r="J6" s="72"/>
      <c r="K6" s="95"/>
    </row>
    <row r="7" ht="15" customHeight="1" spans="1:11">
      <c r="A7" s="72" t="s">
        <v>2641</v>
      </c>
      <c r="B7" s="72" t="s">
        <v>44</v>
      </c>
      <c r="C7" s="72" t="s">
        <v>2648</v>
      </c>
      <c r="D7" s="73" t="s">
        <v>2649</v>
      </c>
      <c r="E7" s="72" t="s">
        <v>1629</v>
      </c>
      <c r="F7" s="74">
        <v>5</v>
      </c>
      <c r="G7" s="72" t="s">
        <v>65</v>
      </c>
      <c r="H7" s="72">
        <v>193079</v>
      </c>
      <c r="I7" s="94"/>
      <c r="J7" s="72"/>
      <c r="K7" s="95"/>
    </row>
    <row r="8" ht="15" customHeight="1" spans="1:11">
      <c r="A8" s="72" t="s">
        <v>2641</v>
      </c>
      <c r="B8" s="72" t="s">
        <v>44</v>
      </c>
      <c r="C8" s="72" t="s">
        <v>2650</v>
      </c>
      <c r="D8" s="73" t="s">
        <v>2651</v>
      </c>
      <c r="E8" s="72" t="s">
        <v>1629</v>
      </c>
      <c r="F8" s="74">
        <v>5</v>
      </c>
      <c r="G8" s="72" t="s">
        <v>69</v>
      </c>
      <c r="H8" s="72">
        <v>724</v>
      </c>
      <c r="I8" s="94"/>
      <c r="J8" s="72"/>
      <c r="K8" s="95"/>
    </row>
    <row r="9" ht="15" customHeight="1" spans="1:11">
      <c r="A9" s="72" t="s">
        <v>2641</v>
      </c>
      <c r="B9" s="72" t="s">
        <v>44</v>
      </c>
      <c r="C9" s="72" t="s">
        <v>2652</v>
      </c>
      <c r="D9" s="73" t="s">
        <v>2653</v>
      </c>
      <c r="E9" s="72" t="s">
        <v>1629</v>
      </c>
      <c r="F9" s="74">
        <v>5</v>
      </c>
      <c r="G9" s="72" t="s">
        <v>65</v>
      </c>
      <c r="H9" s="72">
        <v>603629</v>
      </c>
      <c r="I9" s="94"/>
      <c r="J9" s="72"/>
      <c r="K9" s="95"/>
    </row>
    <row r="10" ht="15" customHeight="1" spans="1:11">
      <c r="A10" s="72" t="s">
        <v>2641</v>
      </c>
      <c r="B10" s="72" t="s">
        <v>44</v>
      </c>
      <c r="C10" s="72" t="s">
        <v>2654</v>
      </c>
      <c r="D10" s="73" t="s">
        <v>2655</v>
      </c>
      <c r="E10" s="72" t="s">
        <v>1629</v>
      </c>
      <c r="F10" s="74">
        <v>5</v>
      </c>
      <c r="G10" s="72" t="s">
        <v>69</v>
      </c>
      <c r="H10" s="72">
        <v>241</v>
      </c>
      <c r="I10" s="94"/>
      <c r="J10" s="72"/>
      <c r="K10" s="95"/>
    </row>
    <row r="11" ht="15" customHeight="1" spans="1:11">
      <c r="A11" s="72" t="s">
        <v>2641</v>
      </c>
      <c r="B11" s="72" t="s">
        <v>44</v>
      </c>
      <c r="C11" s="72" t="s">
        <v>2656</v>
      </c>
      <c r="D11" s="73" t="s">
        <v>2657</v>
      </c>
      <c r="E11" s="72" t="s">
        <v>1629</v>
      </c>
      <c r="F11" s="74">
        <v>5</v>
      </c>
      <c r="G11" s="72" t="s">
        <v>65</v>
      </c>
      <c r="H11" s="72">
        <v>241379</v>
      </c>
      <c r="I11" s="94"/>
      <c r="J11" s="72"/>
      <c r="K11" s="95"/>
    </row>
    <row r="12" ht="15" customHeight="1" spans="1:11">
      <c r="A12" s="72" t="s">
        <v>2658</v>
      </c>
      <c r="B12" s="72" t="s">
        <v>44</v>
      </c>
      <c r="C12" s="72" t="s">
        <v>2659</v>
      </c>
      <c r="D12" s="73" t="s">
        <v>2660</v>
      </c>
      <c r="E12" s="72" t="s">
        <v>1629</v>
      </c>
      <c r="F12" s="74">
        <v>5</v>
      </c>
      <c r="G12" s="72" t="s">
        <v>65</v>
      </c>
      <c r="H12" s="72">
        <v>398354</v>
      </c>
      <c r="I12" s="94"/>
      <c r="J12" s="72"/>
      <c r="K12" s="95"/>
    </row>
    <row r="13" ht="15" customHeight="1" spans="1:11">
      <c r="A13" s="72" t="s">
        <v>2661</v>
      </c>
      <c r="B13" s="72" t="s">
        <v>29</v>
      </c>
      <c r="C13" s="72" t="s">
        <v>2662</v>
      </c>
      <c r="D13" s="73" t="s">
        <v>2663</v>
      </c>
      <c r="E13" s="72" t="s">
        <v>1629</v>
      </c>
      <c r="F13" s="74">
        <v>4</v>
      </c>
      <c r="G13" s="72" t="s">
        <v>65</v>
      </c>
      <c r="H13" s="72">
        <v>1279829</v>
      </c>
      <c r="I13" s="94"/>
      <c r="J13" s="72"/>
      <c r="K13" s="95"/>
    </row>
    <row r="14" ht="15" customHeight="1" spans="1:11">
      <c r="A14" s="72" t="s">
        <v>2661</v>
      </c>
      <c r="B14" s="72" t="s">
        <v>29</v>
      </c>
      <c r="C14" s="72" t="s">
        <v>2664</v>
      </c>
      <c r="D14" s="73" t="s">
        <v>2665</v>
      </c>
      <c r="E14" s="72" t="s">
        <v>1629</v>
      </c>
      <c r="F14" s="74">
        <v>4</v>
      </c>
      <c r="G14" s="72" t="s">
        <v>65</v>
      </c>
      <c r="H14" s="72">
        <v>917579</v>
      </c>
      <c r="I14" s="94"/>
      <c r="J14" s="72"/>
      <c r="K14" s="95"/>
    </row>
    <row r="15" ht="29" customHeight="1" spans="1:11">
      <c r="A15" s="72" t="s">
        <v>2661</v>
      </c>
      <c r="B15" s="72" t="s">
        <v>25</v>
      </c>
      <c r="C15" s="72" t="s">
        <v>2666</v>
      </c>
      <c r="D15" s="73" t="s">
        <v>2667</v>
      </c>
      <c r="E15" s="72" t="s">
        <v>1629</v>
      </c>
      <c r="F15" s="74">
        <v>0</v>
      </c>
      <c r="G15" s="72" t="s">
        <v>65</v>
      </c>
      <c r="H15" s="72">
        <v>25719</v>
      </c>
      <c r="I15" s="94"/>
      <c r="J15" s="72"/>
      <c r="K15" s="95"/>
    </row>
    <row r="16" ht="15" customHeight="1" spans="1:11">
      <c r="A16" s="72" t="s">
        <v>2661</v>
      </c>
      <c r="B16" s="72" t="s">
        <v>29</v>
      </c>
      <c r="C16" s="72" t="s">
        <v>2668</v>
      </c>
      <c r="D16" s="73" t="s">
        <v>2669</v>
      </c>
      <c r="E16" s="72" t="s">
        <v>1629</v>
      </c>
      <c r="F16" s="74">
        <v>4</v>
      </c>
      <c r="G16" s="72" t="s">
        <v>69</v>
      </c>
      <c r="H16" s="72">
        <v>1666350</v>
      </c>
      <c r="I16" s="94"/>
      <c r="J16" s="72"/>
      <c r="K16" s="95"/>
    </row>
    <row r="17" ht="15" customHeight="1" spans="1:11">
      <c r="A17" s="72" t="s">
        <v>2661</v>
      </c>
      <c r="B17" s="72" t="s">
        <v>25</v>
      </c>
      <c r="C17" s="72" t="s">
        <v>2670</v>
      </c>
      <c r="D17" s="73" t="s">
        <v>2671</v>
      </c>
      <c r="E17" s="72" t="s">
        <v>1629</v>
      </c>
      <c r="F17" s="74">
        <v>0</v>
      </c>
      <c r="G17" s="72" t="s">
        <v>69</v>
      </c>
      <c r="H17" s="72">
        <v>24029</v>
      </c>
      <c r="I17" s="94"/>
      <c r="J17" s="72"/>
      <c r="K17" s="95"/>
    </row>
    <row r="18" ht="15" customHeight="1" spans="1:11">
      <c r="A18" s="72" t="s">
        <v>2672</v>
      </c>
      <c r="B18" s="72" t="s">
        <v>29</v>
      </c>
      <c r="C18" s="72" t="s">
        <v>2673</v>
      </c>
      <c r="D18" s="73" t="s">
        <v>2674</v>
      </c>
      <c r="E18" s="72" t="s">
        <v>1629</v>
      </c>
      <c r="F18" s="74">
        <v>4</v>
      </c>
      <c r="G18" s="72" t="s">
        <v>69</v>
      </c>
      <c r="H18" s="72">
        <v>963464</v>
      </c>
      <c r="I18" s="94"/>
      <c r="J18" s="72"/>
      <c r="K18" s="95"/>
    </row>
    <row r="19" ht="30" customHeight="1" spans="1:11">
      <c r="A19" s="72" t="s">
        <v>2675</v>
      </c>
      <c r="B19" s="72" t="s">
        <v>49</v>
      </c>
      <c r="C19" s="72" t="s">
        <v>2676</v>
      </c>
      <c r="D19" s="73" t="s">
        <v>2677</v>
      </c>
      <c r="E19" s="72" t="s">
        <v>132</v>
      </c>
      <c r="F19" s="74">
        <v>0</v>
      </c>
      <c r="G19" s="72" t="s">
        <v>65</v>
      </c>
      <c r="H19" s="72">
        <v>6524</v>
      </c>
      <c r="I19" s="94"/>
      <c r="J19" s="72"/>
      <c r="K19" s="96"/>
    </row>
    <row r="20" ht="30" customHeight="1" spans="1:11">
      <c r="A20" s="72" t="s">
        <v>2675</v>
      </c>
      <c r="B20" s="72" t="s">
        <v>49</v>
      </c>
      <c r="C20" s="72" t="s">
        <v>2678</v>
      </c>
      <c r="D20" s="73" t="s">
        <v>2679</v>
      </c>
      <c r="E20" s="72" t="s">
        <v>132</v>
      </c>
      <c r="F20" s="74">
        <v>0</v>
      </c>
      <c r="G20" s="72" t="s">
        <v>65</v>
      </c>
      <c r="H20" s="72">
        <v>10878</v>
      </c>
      <c r="I20" s="94"/>
      <c r="J20" s="72"/>
      <c r="K20" s="96"/>
    </row>
    <row r="21" ht="30" customHeight="1" spans="1:11">
      <c r="A21" s="72" t="s">
        <v>2675</v>
      </c>
      <c r="B21" s="72" t="s">
        <v>49</v>
      </c>
      <c r="C21" s="72" t="s">
        <v>2680</v>
      </c>
      <c r="D21" s="73" t="s">
        <v>2681</v>
      </c>
      <c r="E21" s="72" t="s">
        <v>132</v>
      </c>
      <c r="F21" s="74">
        <v>0</v>
      </c>
      <c r="G21" s="72" t="s">
        <v>65</v>
      </c>
      <c r="H21" s="72">
        <v>2002</v>
      </c>
      <c r="I21" s="94"/>
      <c r="J21" s="72"/>
      <c r="K21" s="96"/>
    </row>
    <row r="22" ht="30" customHeight="1" spans="1:11">
      <c r="A22" s="72" t="s">
        <v>2675</v>
      </c>
      <c r="B22" s="72" t="s">
        <v>49</v>
      </c>
      <c r="C22" s="72" t="s">
        <v>2682</v>
      </c>
      <c r="D22" s="73" t="s">
        <v>2683</v>
      </c>
      <c r="E22" s="72" t="s">
        <v>132</v>
      </c>
      <c r="F22" s="74">
        <v>0</v>
      </c>
      <c r="G22" s="72" t="s">
        <v>65</v>
      </c>
      <c r="H22" s="72">
        <v>19348</v>
      </c>
      <c r="I22" s="94"/>
      <c r="J22" s="72"/>
      <c r="K22" s="96"/>
    </row>
    <row r="23" ht="30" customHeight="1" spans="1:11">
      <c r="A23" s="72" t="s">
        <v>2675</v>
      </c>
      <c r="B23" s="72" t="s">
        <v>49</v>
      </c>
      <c r="C23" s="72" t="s">
        <v>2684</v>
      </c>
      <c r="D23" s="73" t="s">
        <v>2685</v>
      </c>
      <c r="E23" s="72" t="s">
        <v>132</v>
      </c>
      <c r="F23" s="74">
        <v>0</v>
      </c>
      <c r="G23" s="72" t="s">
        <v>65</v>
      </c>
      <c r="H23" s="72">
        <v>70</v>
      </c>
      <c r="I23" s="94"/>
      <c r="J23" s="72"/>
      <c r="K23" s="96"/>
    </row>
    <row r="24" ht="30" customHeight="1" spans="1:11">
      <c r="A24" s="72" t="s">
        <v>2675</v>
      </c>
      <c r="B24" s="72" t="s">
        <v>49</v>
      </c>
      <c r="C24" s="72" t="s">
        <v>2686</v>
      </c>
      <c r="D24" s="73" t="s">
        <v>2687</v>
      </c>
      <c r="E24" s="72" t="s">
        <v>132</v>
      </c>
      <c r="F24" s="74">
        <v>0</v>
      </c>
      <c r="G24" s="72" t="s">
        <v>65</v>
      </c>
      <c r="H24" s="72">
        <v>3612</v>
      </c>
      <c r="I24" s="94"/>
      <c r="J24" s="72"/>
      <c r="K24" s="96"/>
    </row>
    <row r="25" ht="30" customHeight="1" spans="1:11">
      <c r="A25" s="72" t="s">
        <v>2675</v>
      </c>
      <c r="B25" s="72" t="s">
        <v>49</v>
      </c>
      <c r="C25" s="72" t="s">
        <v>2688</v>
      </c>
      <c r="D25" s="73" t="s">
        <v>2689</v>
      </c>
      <c r="E25" s="72" t="s">
        <v>132</v>
      </c>
      <c r="F25" s="74">
        <v>0</v>
      </c>
      <c r="G25" s="72" t="s">
        <v>65</v>
      </c>
      <c r="H25" s="72">
        <v>60466</v>
      </c>
      <c r="I25" s="94"/>
      <c r="J25" s="72"/>
      <c r="K25" s="96"/>
    </row>
    <row r="26" ht="30" customHeight="1" spans="1:11">
      <c r="A26" s="72" t="s">
        <v>2675</v>
      </c>
      <c r="B26" s="72" t="s">
        <v>49</v>
      </c>
      <c r="C26" s="72" t="s">
        <v>2690</v>
      </c>
      <c r="D26" s="73" t="s">
        <v>2691</v>
      </c>
      <c r="E26" s="72" t="s">
        <v>132</v>
      </c>
      <c r="F26" s="74">
        <v>0</v>
      </c>
      <c r="G26" s="72" t="s">
        <v>65</v>
      </c>
      <c r="H26" s="72">
        <v>28</v>
      </c>
      <c r="I26" s="94"/>
      <c r="J26" s="72"/>
      <c r="K26" s="96"/>
    </row>
    <row r="27" ht="30" customHeight="1" spans="1:11">
      <c r="A27" s="72" t="s">
        <v>2675</v>
      </c>
      <c r="B27" s="72" t="s">
        <v>49</v>
      </c>
      <c r="C27" s="72" t="s">
        <v>2692</v>
      </c>
      <c r="D27" s="73" t="s">
        <v>2693</v>
      </c>
      <c r="E27" s="72" t="s">
        <v>132</v>
      </c>
      <c r="F27" s="74">
        <v>0</v>
      </c>
      <c r="G27" s="72" t="s">
        <v>65</v>
      </c>
      <c r="H27" s="72">
        <v>24178</v>
      </c>
      <c r="I27" s="94"/>
      <c r="J27" s="72"/>
      <c r="K27" s="96"/>
    </row>
    <row r="28" ht="30" customHeight="1" spans="1:11">
      <c r="A28" s="72" t="s">
        <v>2675</v>
      </c>
      <c r="B28" s="72" t="s">
        <v>49</v>
      </c>
      <c r="C28" s="72" t="s">
        <v>2694</v>
      </c>
      <c r="D28" s="73" t="s">
        <v>2695</v>
      </c>
      <c r="E28" s="72" t="s">
        <v>132</v>
      </c>
      <c r="F28" s="74">
        <v>0</v>
      </c>
      <c r="G28" s="72" t="s">
        <v>65</v>
      </c>
      <c r="H28" s="72">
        <v>182</v>
      </c>
      <c r="I28" s="94"/>
      <c r="J28" s="72"/>
      <c r="K28" s="96"/>
    </row>
    <row r="29" ht="30" customHeight="1" spans="1:11">
      <c r="A29" s="72" t="s">
        <v>2675</v>
      </c>
      <c r="B29" s="72" t="s">
        <v>49</v>
      </c>
      <c r="C29" s="72" t="s">
        <v>2696</v>
      </c>
      <c r="D29" s="73" t="s">
        <v>2697</v>
      </c>
      <c r="E29" s="72" t="s">
        <v>132</v>
      </c>
      <c r="F29" s="74">
        <v>0</v>
      </c>
      <c r="G29" s="72" t="s">
        <v>65</v>
      </c>
      <c r="H29" s="72">
        <v>12264</v>
      </c>
      <c r="I29" s="94"/>
      <c r="J29" s="72"/>
      <c r="K29" s="96"/>
    </row>
    <row r="30" ht="30" customHeight="1" spans="1:11">
      <c r="A30" s="72" t="s">
        <v>2675</v>
      </c>
      <c r="B30" s="72" t="s">
        <v>49</v>
      </c>
      <c r="C30" s="72" t="s">
        <v>2698</v>
      </c>
      <c r="D30" s="73" t="s">
        <v>2699</v>
      </c>
      <c r="E30" s="72" t="s">
        <v>132</v>
      </c>
      <c r="F30" s="74">
        <v>0</v>
      </c>
      <c r="G30" s="72" t="s">
        <v>65</v>
      </c>
      <c r="H30" s="72">
        <v>20440</v>
      </c>
      <c r="I30" s="94"/>
      <c r="J30" s="72"/>
      <c r="K30" s="96"/>
    </row>
    <row r="31" ht="30" customHeight="1" spans="1:11">
      <c r="A31" s="72" t="s">
        <v>2675</v>
      </c>
      <c r="B31" s="72" t="s">
        <v>49</v>
      </c>
      <c r="C31" s="72" t="s">
        <v>2700</v>
      </c>
      <c r="D31" s="73" t="s">
        <v>2701</v>
      </c>
      <c r="E31" s="72" t="s">
        <v>132</v>
      </c>
      <c r="F31" s="74">
        <v>0</v>
      </c>
      <c r="G31" s="72" t="s">
        <v>65</v>
      </c>
      <c r="H31" s="72">
        <v>3752</v>
      </c>
      <c r="I31" s="94"/>
      <c r="J31" s="72"/>
      <c r="K31" s="96"/>
    </row>
    <row r="32" ht="30" customHeight="1" spans="1:11">
      <c r="A32" s="72" t="s">
        <v>2675</v>
      </c>
      <c r="B32" s="72" t="s">
        <v>49</v>
      </c>
      <c r="C32" s="72" t="s">
        <v>2702</v>
      </c>
      <c r="D32" s="73" t="s">
        <v>2703</v>
      </c>
      <c r="E32" s="72" t="s">
        <v>132</v>
      </c>
      <c r="F32" s="74">
        <v>0</v>
      </c>
      <c r="G32" s="72" t="s">
        <v>65</v>
      </c>
      <c r="H32" s="72">
        <v>36358</v>
      </c>
      <c r="I32" s="94"/>
      <c r="J32" s="72"/>
      <c r="K32" s="96"/>
    </row>
    <row r="33" ht="30" customHeight="1" spans="1:11">
      <c r="A33" s="72" t="s">
        <v>2675</v>
      </c>
      <c r="B33" s="72" t="s">
        <v>49</v>
      </c>
      <c r="C33" s="72" t="s">
        <v>2704</v>
      </c>
      <c r="D33" s="73" t="s">
        <v>2705</v>
      </c>
      <c r="E33" s="72" t="s">
        <v>132</v>
      </c>
      <c r="F33" s="74">
        <v>0</v>
      </c>
      <c r="G33" s="72" t="s">
        <v>65</v>
      </c>
      <c r="H33" s="72">
        <v>140</v>
      </c>
      <c r="I33" s="94"/>
      <c r="J33" s="72"/>
      <c r="K33" s="96"/>
    </row>
    <row r="34" ht="30" customHeight="1" spans="1:11">
      <c r="A34" s="72" t="s">
        <v>2675</v>
      </c>
      <c r="B34" s="72" t="s">
        <v>49</v>
      </c>
      <c r="C34" s="72" t="s">
        <v>2706</v>
      </c>
      <c r="D34" s="73" t="s">
        <v>2707</v>
      </c>
      <c r="E34" s="72" t="s">
        <v>132</v>
      </c>
      <c r="F34" s="74">
        <v>0</v>
      </c>
      <c r="G34" s="72" t="s">
        <v>65</v>
      </c>
      <c r="H34" s="72">
        <v>6804</v>
      </c>
      <c r="I34" s="94"/>
      <c r="J34" s="72"/>
      <c r="K34" s="96"/>
    </row>
    <row r="35" ht="30" customHeight="1" spans="1:11">
      <c r="A35" s="72" t="s">
        <v>2675</v>
      </c>
      <c r="B35" s="72" t="s">
        <v>49</v>
      </c>
      <c r="C35" s="72" t="s">
        <v>2708</v>
      </c>
      <c r="D35" s="73" t="s">
        <v>2709</v>
      </c>
      <c r="E35" s="72" t="s">
        <v>132</v>
      </c>
      <c r="F35" s="74">
        <v>0</v>
      </c>
      <c r="G35" s="72" t="s">
        <v>65</v>
      </c>
      <c r="H35" s="72">
        <v>113680</v>
      </c>
      <c r="I35" s="94"/>
      <c r="J35" s="72"/>
      <c r="K35" s="96"/>
    </row>
    <row r="36" ht="30" customHeight="1" spans="1:11">
      <c r="A36" s="72" t="s">
        <v>2675</v>
      </c>
      <c r="B36" s="72" t="s">
        <v>49</v>
      </c>
      <c r="C36" s="72" t="s">
        <v>2710</v>
      </c>
      <c r="D36" s="73" t="s">
        <v>2711</v>
      </c>
      <c r="E36" s="72" t="s">
        <v>132</v>
      </c>
      <c r="F36" s="74">
        <v>0</v>
      </c>
      <c r="G36" s="72" t="s">
        <v>65</v>
      </c>
      <c r="H36" s="72">
        <v>42</v>
      </c>
      <c r="I36" s="94"/>
      <c r="J36" s="72"/>
      <c r="K36" s="96"/>
    </row>
    <row r="37" ht="30" customHeight="1" spans="1:11">
      <c r="A37" s="72" t="s">
        <v>2675</v>
      </c>
      <c r="B37" s="72" t="s">
        <v>49</v>
      </c>
      <c r="C37" s="72" t="s">
        <v>2712</v>
      </c>
      <c r="D37" s="73" t="s">
        <v>2713</v>
      </c>
      <c r="E37" s="72" t="s">
        <v>132</v>
      </c>
      <c r="F37" s="74">
        <v>0</v>
      </c>
      <c r="G37" s="72" t="s">
        <v>65</v>
      </c>
      <c r="H37" s="72">
        <v>45458</v>
      </c>
      <c r="I37" s="94"/>
      <c r="J37" s="72"/>
      <c r="K37" s="96"/>
    </row>
    <row r="38" ht="30" customHeight="1" spans="1:11">
      <c r="A38" s="72" t="s">
        <v>2675</v>
      </c>
      <c r="B38" s="72" t="s">
        <v>49</v>
      </c>
      <c r="C38" s="72" t="s">
        <v>2714</v>
      </c>
      <c r="D38" s="73" t="s">
        <v>2715</v>
      </c>
      <c r="E38" s="72" t="s">
        <v>132</v>
      </c>
      <c r="F38" s="74">
        <v>0</v>
      </c>
      <c r="G38" s="72" t="s">
        <v>65</v>
      </c>
      <c r="H38" s="72">
        <v>336</v>
      </c>
      <c r="I38" s="94"/>
      <c r="J38" s="72"/>
      <c r="K38" s="96"/>
    </row>
    <row r="39" ht="30" customHeight="1" spans="1:11">
      <c r="A39" s="72" t="s">
        <v>2675</v>
      </c>
      <c r="B39" s="72" t="s">
        <v>49</v>
      </c>
      <c r="C39" s="72" t="s">
        <v>2716</v>
      </c>
      <c r="D39" s="73" t="s">
        <v>2717</v>
      </c>
      <c r="E39" s="72" t="s">
        <v>132</v>
      </c>
      <c r="F39" s="74">
        <v>0</v>
      </c>
      <c r="G39" s="72" t="s">
        <v>69</v>
      </c>
      <c r="H39" s="72">
        <v>27706</v>
      </c>
      <c r="I39" s="94"/>
      <c r="J39" s="72"/>
      <c r="K39" s="96"/>
    </row>
    <row r="40" ht="30" customHeight="1" spans="1:11">
      <c r="A40" s="72" t="s">
        <v>2675</v>
      </c>
      <c r="B40" s="72" t="s">
        <v>49</v>
      </c>
      <c r="C40" s="72" t="s">
        <v>2718</v>
      </c>
      <c r="D40" s="73" t="s">
        <v>2719</v>
      </c>
      <c r="E40" s="72" t="s">
        <v>132</v>
      </c>
      <c r="F40" s="74">
        <v>0</v>
      </c>
      <c r="G40" s="72" t="s">
        <v>69</v>
      </c>
      <c r="H40" s="72">
        <v>46214</v>
      </c>
      <c r="I40" s="94"/>
      <c r="J40" s="72"/>
      <c r="K40" s="96"/>
    </row>
    <row r="41" ht="30" customHeight="1" spans="1:11">
      <c r="A41" s="72" t="s">
        <v>2675</v>
      </c>
      <c r="B41" s="72" t="s">
        <v>49</v>
      </c>
      <c r="C41" s="72" t="s">
        <v>2720</v>
      </c>
      <c r="D41" s="73" t="s">
        <v>2721</v>
      </c>
      <c r="E41" s="72" t="s">
        <v>132</v>
      </c>
      <c r="F41" s="74">
        <v>0</v>
      </c>
      <c r="G41" s="72" t="s">
        <v>69</v>
      </c>
      <c r="H41" s="72">
        <v>8484</v>
      </c>
      <c r="I41" s="94"/>
      <c r="J41" s="72"/>
      <c r="K41" s="96"/>
    </row>
    <row r="42" ht="30" customHeight="1" spans="1:11">
      <c r="A42" s="72" t="s">
        <v>2675</v>
      </c>
      <c r="B42" s="72" t="s">
        <v>49</v>
      </c>
      <c r="C42" s="72" t="s">
        <v>2722</v>
      </c>
      <c r="D42" s="73" t="s">
        <v>2723</v>
      </c>
      <c r="E42" s="72" t="s">
        <v>132</v>
      </c>
      <c r="F42" s="74">
        <v>0</v>
      </c>
      <c r="G42" s="72" t="s">
        <v>69</v>
      </c>
      <c r="H42" s="72">
        <v>82208</v>
      </c>
      <c r="I42" s="94"/>
      <c r="J42" s="72"/>
      <c r="K42" s="96"/>
    </row>
    <row r="43" ht="30" customHeight="1" spans="1:11">
      <c r="A43" s="72" t="s">
        <v>2675</v>
      </c>
      <c r="B43" s="72" t="s">
        <v>49</v>
      </c>
      <c r="C43" s="72" t="s">
        <v>2724</v>
      </c>
      <c r="D43" s="73" t="s">
        <v>2725</v>
      </c>
      <c r="E43" s="72" t="s">
        <v>132</v>
      </c>
      <c r="F43" s="74">
        <v>0</v>
      </c>
      <c r="G43" s="72" t="s">
        <v>69</v>
      </c>
      <c r="H43" s="72">
        <v>308</v>
      </c>
      <c r="I43" s="94"/>
      <c r="J43" s="72"/>
      <c r="K43" s="96"/>
    </row>
    <row r="44" ht="30" customHeight="1" spans="1:11">
      <c r="A44" s="72" t="s">
        <v>2675</v>
      </c>
      <c r="B44" s="72" t="s">
        <v>49</v>
      </c>
      <c r="C44" s="72" t="s">
        <v>2726</v>
      </c>
      <c r="D44" s="73" t="s">
        <v>2727</v>
      </c>
      <c r="E44" s="72" t="s">
        <v>132</v>
      </c>
      <c r="F44" s="74">
        <v>0</v>
      </c>
      <c r="G44" s="72" t="s">
        <v>69</v>
      </c>
      <c r="H44" s="72">
        <v>15372</v>
      </c>
      <c r="I44" s="94"/>
      <c r="J44" s="72"/>
      <c r="K44" s="96"/>
    </row>
    <row r="45" ht="30" customHeight="1" spans="1:11">
      <c r="A45" s="72" t="s">
        <v>2675</v>
      </c>
      <c r="B45" s="72" t="s">
        <v>49</v>
      </c>
      <c r="C45" s="72" t="s">
        <v>2728</v>
      </c>
      <c r="D45" s="73" t="s">
        <v>2729</v>
      </c>
      <c r="E45" s="72" t="s">
        <v>132</v>
      </c>
      <c r="F45" s="74">
        <v>0</v>
      </c>
      <c r="G45" s="72" t="s">
        <v>69</v>
      </c>
      <c r="H45" s="72">
        <v>256984</v>
      </c>
      <c r="I45" s="94"/>
      <c r="J45" s="72"/>
      <c r="K45" s="96"/>
    </row>
    <row r="46" ht="30" customHeight="1" spans="1:11">
      <c r="A46" s="72" t="s">
        <v>2675</v>
      </c>
      <c r="B46" s="72" t="s">
        <v>49</v>
      </c>
      <c r="C46" s="72" t="s">
        <v>2730</v>
      </c>
      <c r="D46" s="73" t="s">
        <v>2731</v>
      </c>
      <c r="E46" s="72" t="s">
        <v>132</v>
      </c>
      <c r="F46" s="74">
        <v>0</v>
      </c>
      <c r="G46" s="72" t="s">
        <v>69</v>
      </c>
      <c r="H46" s="72">
        <v>98</v>
      </c>
      <c r="I46" s="94"/>
      <c r="J46" s="72"/>
      <c r="K46" s="96"/>
    </row>
    <row r="47" ht="30" customHeight="1" spans="1:11">
      <c r="A47" s="72" t="s">
        <v>2675</v>
      </c>
      <c r="B47" s="72" t="s">
        <v>49</v>
      </c>
      <c r="C47" s="72" t="s">
        <v>2732</v>
      </c>
      <c r="D47" s="73" t="s">
        <v>2733</v>
      </c>
      <c r="E47" s="72" t="s">
        <v>132</v>
      </c>
      <c r="F47" s="74">
        <v>0</v>
      </c>
      <c r="G47" s="72" t="s">
        <v>69</v>
      </c>
      <c r="H47" s="72">
        <v>102760</v>
      </c>
      <c r="I47" s="94"/>
      <c r="J47" s="72"/>
      <c r="K47" s="96"/>
    </row>
    <row r="48" ht="30" customHeight="1" spans="1:11">
      <c r="A48" s="72" t="s">
        <v>2675</v>
      </c>
      <c r="B48" s="72" t="s">
        <v>49</v>
      </c>
      <c r="C48" s="72" t="s">
        <v>2734</v>
      </c>
      <c r="D48" s="73" t="s">
        <v>2735</v>
      </c>
      <c r="E48" s="72" t="s">
        <v>132</v>
      </c>
      <c r="F48" s="74">
        <v>0</v>
      </c>
      <c r="G48" s="72" t="s">
        <v>69</v>
      </c>
      <c r="H48" s="72">
        <v>770</v>
      </c>
      <c r="I48" s="94"/>
      <c r="J48" s="72"/>
      <c r="K48" s="96"/>
    </row>
  </sheetData>
  <autoFilter xmlns:etc="http://www.wps.cn/officeDocument/2017/etCustomData" ref="A1:J48" etc:filterBottomFollowUsedRange="0">
    <extLst/>
  </autoFilter>
  <pageMargins left="0.75" right="0.75" top="1" bottom="1" header="0.5" footer="0.5"/>
  <pageSetup paperSize="1" scale="73" fitToHeight="9" orientation="landscape"/>
  <headerFooter alignWithMargins="0">
    <oddHeader>&amp;C&amp;"Arial,Bold"&amp;12 OmniVista 3600Worldwide Price List - February 2015&amp;RAs of 02/09/2015</oddHeader>
    <oddFooter>&amp;CAlcatel-Lucent - Enterprise Solutions Division - Confidential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P39"/>
  <sheetViews>
    <sheetView topLeftCell="A11" workbookViewId="0">
      <selection activeCell="R18" sqref="R18"/>
    </sheetView>
  </sheetViews>
  <sheetFormatPr defaultColWidth="9.16814159292035" defaultRowHeight="12.75"/>
  <cols>
    <col min="1" max="1" width="12.1681415929204" style="78" customWidth="1"/>
    <col min="2" max="2" width="16.1681415929204" style="78" customWidth="1"/>
    <col min="3" max="3" width="22.6637168141593" style="78" customWidth="1"/>
    <col min="4" max="4" width="18.6637168141593" style="78" customWidth="1"/>
    <col min="5" max="5" width="66.1681415929203" style="78" customWidth="1"/>
    <col min="6" max="7" width="12.1681415929204" style="78" customWidth="1"/>
    <col min="8" max="8" width="10.6637168141593" style="78" customWidth="1"/>
    <col min="9" max="9" width="12.1681415929204" style="78" customWidth="1"/>
    <col min="10" max="10" width="9.16814159292035" style="78" customWidth="1"/>
    <col min="11" max="11" width="9.16814159292035" style="79" customWidth="1"/>
    <col min="12" max="16384" width="9.16814159292035" style="79"/>
  </cols>
  <sheetData>
    <row r="1" s="77" customFormat="1" ht="15" customHeight="1" spans="1:10">
      <c r="A1" s="80" t="s">
        <v>50</v>
      </c>
      <c r="B1" s="80" t="s">
        <v>2736</v>
      </c>
      <c r="C1" s="80" t="s">
        <v>2737</v>
      </c>
      <c r="D1" s="80" t="s">
        <v>2738</v>
      </c>
      <c r="E1" s="80" t="s">
        <v>2739</v>
      </c>
      <c r="F1" s="81" t="s">
        <v>54</v>
      </c>
      <c r="G1" s="80" t="s">
        <v>55</v>
      </c>
      <c r="H1" s="80" t="s">
        <v>57</v>
      </c>
      <c r="I1" s="80" t="s">
        <v>2740</v>
      </c>
      <c r="J1" s="80" t="s">
        <v>2741</v>
      </c>
    </row>
    <row r="2" ht="45" customHeight="1" spans="1:10">
      <c r="A2" s="82" t="s">
        <v>2742</v>
      </c>
      <c r="B2" s="74" t="s">
        <v>2743</v>
      </c>
      <c r="C2" s="74" t="s">
        <v>129</v>
      </c>
      <c r="D2" s="74" t="s">
        <v>2744</v>
      </c>
      <c r="E2" s="83" t="s">
        <v>2745</v>
      </c>
      <c r="F2" s="74" t="s">
        <v>132</v>
      </c>
      <c r="G2" s="84">
        <v>0</v>
      </c>
      <c r="H2" s="72">
        <v>82196</v>
      </c>
      <c r="I2" s="74" t="s">
        <v>65</v>
      </c>
      <c r="J2" s="74"/>
    </row>
    <row r="3" ht="45" customHeight="1" spans="1:10">
      <c r="A3" s="82" t="s">
        <v>2742</v>
      </c>
      <c r="B3" s="85" t="s">
        <v>2746</v>
      </c>
      <c r="C3" s="74" t="s">
        <v>2747</v>
      </c>
      <c r="D3" s="74" t="s">
        <v>2748</v>
      </c>
      <c r="E3" s="83" t="s">
        <v>2749</v>
      </c>
      <c r="F3" s="74" t="s">
        <v>132</v>
      </c>
      <c r="G3" s="84">
        <v>0</v>
      </c>
      <c r="H3" s="72">
        <v>12075</v>
      </c>
      <c r="I3" s="74" t="s">
        <v>65</v>
      </c>
      <c r="J3" s="86"/>
    </row>
    <row r="4" ht="45" customHeight="1" spans="1:10">
      <c r="A4" s="82" t="s">
        <v>2742</v>
      </c>
      <c r="B4" s="85" t="s">
        <v>2746</v>
      </c>
      <c r="C4" s="74" t="s">
        <v>2747</v>
      </c>
      <c r="D4" s="74" t="s">
        <v>2750</v>
      </c>
      <c r="E4" s="83" t="s">
        <v>2751</v>
      </c>
      <c r="F4" s="74" t="s">
        <v>132</v>
      </c>
      <c r="G4" s="84">
        <v>0</v>
      </c>
      <c r="H4" s="72">
        <v>16218</v>
      </c>
      <c r="I4" s="74" t="s">
        <v>65</v>
      </c>
      <c r="J4" s="86"/>
    </row>
    <row r="5" ht="45" customHeight="1" spans="1:10">
      <c r="A5" s="82" t="s">
        <v>2742</v>
      </c>
      <c r="B5" s="74" t="s">
        <v>2752</v>
      </c>
      <c r="C5" s="74" t="s">
        <v>445</v>
      </c>
      <c r="D5" s="74" t="s">
        <v>2753</v>
      </c>
      <c r="E5" s="83" t="s">
        <v>2754</v>
      </c>
      <c r="F5" s="74" t="s">
        <v>132</v>
      </c>
      <c r="G5" s="84">
        <v>0</v>
      </c>
      <c r="H5" s="72">
        <v>8211</v>
      </c>
      <c r="I5" s="74" t="s">
        <v>65</v>
      </c>
      <c r="J5" s="74"/>
    </row>
    <row r="6" ht="45" customHeight="1" spans="1:10">
      <c r="A6" s="82" t="s">
        <v>2742</v>
      </c>
      <c r="B6" s="74" t="s">
        <v>2755</v>
      </c>
      <c r="C6" s="74" t="s">
        <v>605</v>
      </c>
      <c r="D6" s="74" t="s">
        <v>2756</v>
      </c>
      <c r="E6" s="83" t="s">
        <v>2757</v>
      </c>
      <c r="F6" s="74" t="s">
        <v>132</v>
      </c>
      <c r="G6" s="84">
        <v>0</v>
      </c>
      <c r="H6" s="72">
        <v>4124</v>
      </c>
      <c r="I6" s="74" t="s">
        <v>65</v>
      </c>
      <c r="J6" s="74"/>
    </row>
    <row r="7" ht="45" customHeight="1" spans="1:10">
      <c r="A7" s="82" t="s">
        <v>2742</v>
      </c>
      <c r="B7" s="74" t="s">
        <v>2758</v>
      </c>
      <c r="C7" s="74" t="s">
        <v>699</v>
      </c>
      <c r="D7" s="74" t="s">
        <v>2759</v>
      </c>
      <c r="E7" s="83" t="s">
        <v>2760</v>
      </c>
      <c r="F7" s="74" t="s">
        <v>132</v>
      </c>
      <c r="G7" s="84">
        <v>0</v>
      </c>
      <c r="H7" s="72">
        <v>2163</v>
      </c>
      <c r="I7" s="74" t="s">
        <v>65</v>
      </c>
      <c r="J7" s="74"/>
    </row>
    <row r="8" ht="45" customHeight="1" spans="1:10">
      <c r="A8" s="82" t="s">
        <v>2742</v>
      </c>
      <c r="B8" s="74" t="s">
        <v>2761</v>
      </c>
      <c r="C8" s="74" t="s">
        <v>917</v>
      </c>
      <c r="D8" s="74" t="s">
        <v>2762</v>
      </c>
      <c r="E8" s="83" t="s">
        <v>2763</v>
      </c>
      <c r="F8" s="74" t="s">
        <v>132</v>
      </c>
      <c r="G8" s="84">
        <v>0</v>
      </c>
      <c r="H8" s="72">
        <v>1043</v>
      </c>
      <c r="I8" s="74" t="s">
        <v>65</v>
      </c>
      <c r="J8" s="74"/>
    </row>
    <row r="9" ht="45" customHeight="1" spans="1:10">
      <c r="A9" s="82" t="s">
        <v>2742</v>
      </c>
      <c r="B9" s="74" t="s">
        <v>2764</v>
      </c>
      <c r="C9" s="74" t="s">
        <v>1002</v>
      </c>
      <c r="D9" s="74" t="s">
        <v>2765</v>
      </c>
      <c r="E9" s="83" t="s">
        <v>2766</v>
      </c>
      <c r="F9" s="74" t="s">
        <v>132</v>
      </c>
      <c r="G9" s="84">
        <v>0</v>
      </c>
      <c r="H9" s="72">
        <v>869</v>
      </c>
      <c r="I9" s="74" t="s">
        <v>65</v>
      </c>
      <c r="J9" s="74"/>
    </row>
    <row r="10" ht="30" customHeight="1" spans="1:10">
      <c r="A10" s="82" t="s">
        <v>2742</v>
      </c>
      <c r="B10" s="74" t="s">
        <v>2767</v>
      </c>
      <c r="C10" s="74" t="s">
        <v>1031</v>
      </c>
      <c r="D10" s="74" t="s">
        <v>2768</v>
      </c>
      <c r="E10" s="83" t="s">
        <v>2769</v>
      </c>
      <c r="F10" s="74" t="s">
        <v>132</v>
      </c>
      <c r="G10" s="84">
        <v>0</v>
      </c>
      <c r="H10" s="72">
        <v>830</v>
      </c>
      <c r="I10" s="74" t="s">
        <v>65</v>
      </c>
      <c r="J10" s="74"/>
    </row>
    <row r="11" ht="30" customHeight="1" spans="1:10">
      <c r="A11" s="82" t="s">
        <v>2742</v>
      </c>
      <c r="B11" s="74" t="s">
        <v>2770</v>
      </c>
      <c r="C11" s="74" t="s">
        <v>1080</v>
      </c>
      <c r="D11" s="74" t="s">
        <v>2771</v>
      </c>
      <c r="E11" s="83" t="s">
        <v>2772</v>
      </c>
      <c r="F11" s="74" t="s">
        <v>132</v>
      </c>
      <c r="G11" s="84">
        <v>0</v>
      </c>
      <c r="H11" s="72">
        <v>483</v>
      </c>
      <c r="I11" s="74" t="s">
        <v>65</v>
      </c>
      <c r="J11" s="74"/>
    </row>
    <row r="12" ht="45" customHeight="1" spans="1:10">
      <c r="A12" s="82" t="s">
        <v>2742</v>
      </c>
      <c r="B12" s="74" t="s">
        <v>2773</v>
      </c>
      <c r="C12" s="74" t="s">
        <v>2774</v>
      </c>
      <c r="D12" s="74" t="s">
        <v>2775</v>
      </c>
      <c r="E12" s="83" t="s">
        <v>2776</v>
      </c>
      <c r="F12" s="74" t="s">
        <v>132</v>
      </c>
      <c r="G12" s="84">
        <v>0</v>
      </c>
      <c r="H12" s="72">
        <v>434</v>
      </c>
      <c r="I12" s="74" t="s">
        <v>65</v>
      </c>
      <c r="J12" s="74"/>
    </row>
    <row r="13" ht="30" customHeight="1" spans="1:10">
      <c r="A13" s="82" t="s">
        <v>2742</v>
      </c>
      <c r="B13" s="85" t="s">
        <v>2777</v>
      </c>
      <c r="C13" s="85" t="s">
        <v>2778</v>
      </c>
      <c r="D13" s="85" t="s">
        <v>2779</v>
      </c>
      <c r="E13" s="87" t="s">
        <v>2780</v>
      </c>
      <c r="F13" s="74" t="s">
        <v>132</v>
      </c>
      <c r="G13" s="84">
        <v>0</v>
      </c>
      <c r="H13" s="72">
        <v>420</v>
      </c>
      <c r="I13" s="74" t="s">
        <v>65</v>
      </c>
      <c r="J13" s="74"/>
    </row>
    <row r="14" ht="45" customHeight="1" spans="1:10">
      <c r="A14" s="82" t="s">
        <v>2742</v>
      </c>
      <c r="B14" s="85" t="s">
        <v>2781</v>
      </c>
      <c r="C14" s="74" t="s">
        <v>2782</v>
      </c>
      <c r="D14" s="74" t="s">
        <v>2783</v>
      </c>
      <c r="E14" s="83" t="s">
        <v>2784</v>
      </c>
      <c r="F14" s="74" t="s">
        <v>132</v>
      </c>
      <c r="G14" s="84">
        <v>0</v>
      </c>
      <c r="H14" s="72">
        <v>144</v>
      </c>
      <c r="I14" s="74" t="s">
        <v>65</v>
      </c>
      <c r="J14" s="74"/>
    </row>
    <row r="15" ht="45" customHeight="1" spans="1:10">
      <c r="A15" s="82" t="s">
        <v>2742</v>
      </c>
      <c r="B15" s="85" t="s">
        <v>2781</v>
      </c>
      <c r="C15" s="74" t="s">
        <v>2782</v>
      </c>
      <c r="D15" s="74" t="s">
        <v>2785</v>
      </c>
      <c r="E15" s="83" t="s">
        <v>2786</v>
      </c>
      <c r="F15" s="74" t="s">
        <v>132</v>
      </c>
      <c r="G15" s="84">
        <v>0</v>
      </c>
      <c r="H15" s="72">
        <v>551</v>
      </c>
      <c r="I15" s="74" t="s">
        <v>65</v>
      </c>
      <c r="J15" s="74"/>
    </row>
    <row r="16" ht="45" customHeight="1" spans="1:10">
      <c r="A16" s="82" t="s">
        <v>2742</v>
      </c>
      <c r="B16" s="85" t="s">
        <v>2781</v>
      </c>
      <c r="C16" s="74" t="s">
        <v>2782</v>
      </c>
      <c r="D16" s="74" t="s">
        <v>2787</v>
      </c>
      <c r="E16" s="83" t="s">
        <v>2788</v>
      </c>
      <c r="F16" s="74" t="s">
        <v>132</v>
      </c>
      <c r="G16" s="84">
        <v>0</v>
      </c>
      <c r="H16" s="72">
        <v>792</v>
      </c>
      <c r="I16" s="74" t="s">
        <v>65</v>
      </c>
      <c r="J16" s="74"/>
    </row>
    <row r="17" ht="45" customHeight="1" spans="1:10">
      <c r="A17" s="82" t="s">
        <v>2742</v>
      </c>
      <c r="B17" s="85" t="s">
        <v>2781</v>
      </c>
      <c r="C17" s="74" t="s">
        <v>2782</v>
      </c>
      <c r="D17" s="88" t="s">
        <v>2789</v>
      </c>
      <c r="E17" s="83" t="s">
        <v>2790</v>
      </c>
      <c r="F17" s="74" t="s">
        <v>132</v>
      </c>
      <c r="G17" s="84">
        <v>0</v>
      </c>
      <c r="H17" s="72">
        <v>6279</v>
      </c>
      <c r="I17" s="74" t="s">
        <v>65</v>
      </c>
      <c r="J17" s="74"/>
    </row>
    <row r="18" ht="45" customHeight="1" spans="1:10">
      <c r="A18" s="82" t="s">
        <v>2742</v>
      </c>
      <c r="B18" s="85" t="s">
        <v>2791</v>
      </c>
      <c r="C18" s="74" t="s">
        <v>2792</v>
      </c>
      <c r="D18" s="74" t="s">
        <v>2793</v>
      </c>
      <c r="E18" s="83" t="s">
        <v>2794</v>
      </c>
      <c r="F18" s="74" t="s">
        <v>132</v>
      </c>
      <c r="G18" s="84">
        <v>0</v>
      </c>
      <c r="H18" s="72">
        <v>3350</v>
      </c>
      <c r="I18" s="74" t="s">
        <v>65</v>
      </c>
      <c r="J18" s="74"/>
    </row>
    <row r="19" ht="45" customHeight="1" spans="1:10">
      <c r="A19" s="82" t="s">
        <v>2742</v>
      </c>
      <c r="B19" s="85" t="s">
        <v>2791</v>
      </c>
      <c r="C19" s="74" t="s">
        <v>2792</v>
      </c>
      <c r="D19" s="74" t="s">
        <v>2795</v>
      </c>
      <c r="E19" s="83" t="s">
        <v>2794</v>
      </c>
      <c r="F19" s="74" t="s">
        <v>132</v>
      </c>
      <c r="G19" s="84">
        <v>0</v>
      </c>
      <c r="H19" s="72">
        <v>4408</v>
      </c>
      <c r="I19" s="74" t="s">
        <v>65</v>
      </c>
      <c r="J19" s="74"/>
    </row>
    <row r="20" ht="45" customHeight="1" spans="1:10">
      <c r="A20" s="82" t="s">
        <v>2742</v>
      </c>
      <c r="B20" s="74" t="s">
        <v>2791</v>
      </c>
      <c r="C20" s="74" t="s">
        <v>2792</v>
      </c>
      <c r="D20" s="74" t="s">
        <v>2796</v>
      </c>
      <c r="E20" s="83" t="s">
        <v>2794</v>
      </c>
      <c r="F20" s="74" t="s">
        <v>132</v>
      </c>
      <c r="G20" s="84">
        <v>0</v>
      </c>
      <c r="H20" s="72">
        <v>13050</v>
      </c>
      <c r="I20" s="74" t="s">
        <v>65</v>
      </c>
      <c r="J20" s="74"/>
    </row>
    <row r="21" ht="45" customHeight="1" spans="1:10">
      <c r="A21" s="82" t="s">
        <v>2742</v>
      </c>
      <c r="B21" s="74" t="s">
        <v>2791</v>
      </c>
      <c r="C21" s="74" t="s">
        <v>2792</v>
      </c>
      <c r="D21" s="74" t="s">
        <v>2797</v>
      </c>
      <c r="E21" s="83" t="s">
        <v>2794</v>
      </c>
      <c r="F21" s="74" t="s">
        <v>132</v>
      </c>
      <c r="G21" s="84">
        <v>0</v>
      </c>
      <c r="H21" s="72">
        <v>16030</v>
      </c>
      <c r="I21" s="74" t="s">
        <v>65</v>
      </c>
      <c r="J21" s="74"/>
    </row>
    <row r="22" ht="45" customHeight="1" spans="1:10">
      <c r="A22" s="82" t="s">
        <v>2742</v>
      </c>
      <c r="B22" s="74" t="s">
        <v>2791</v>
      </c>
      <c r="C22" s="74" t="s">
        <v>2792</v>
      </c>
      <c r="D22" s="74" t="s">
        <v>2798</v>
      </c>
      <c r="E22" s="83" t="s">
        <v>2794</v>
      </c>
      <c r="F22" s="74" t="s">
        <v>132</v>
      </c>
      <c r="G22" s="84">
        <v>0</v>
      </c>
      <c r="H22" s="72">
        <v>33561</v>
      </c>
      <c r="I22" s="74" t="s">
        <v>65</v>
      </c>
      <c r="J22" s="74"/>
    </row>
    <row r="23" ht="45" customHeight="1" spans="1:10">
      <c r="A23" s="82" t="s">
        <v>2742</v>
      </c>
      <c r="B23" s="74" t="s">
        <v>2791</v>
      </c>
      <c r="C23" s="74" t="s">
        <v>2792</v>
      </c>
      <c r="D23" s="74" t="s">
        <v>2799</v>
      </c>
      <c r="E23" s="83" t="s">
        <v>2794</v>
      </c>
      <c r="F23" s="74" t="s">
        <v>132</v>
      </c>
      <c r="G23" s="84">
        <v>0</v>
      </c>
      <c r="H23" s="72">
        <v>112800</v>
      </c>
      <c r="I23" s="74" t="s">
        <v>65</v>
      </c>
      <c r="J23" s="74"/>
    </row>
    <row r="39" ht="14" customHeight="1" spans="16:16">
      <c r="P39" s="79" t="s">
        <v>7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tabColor indexed="21"/>
    <pageSetUpPr fitToPage="1"/>
  </sheetPr>
  <dimension ref="A1:J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Q26" sqref="Q26"/>
    </sheetView>
  </sheetViews>
  <sheetFormatPr defaultColWidth="8.66371681415929" defaultRowHeight="12.75" outlineLevelRow="6"/>
  <cols>
    <col min="1" max="2" width="25" style="64" customWidth="1"/>
    <col min="3" max="3" width="18.6637168141593" style="64" customWidth="1"/>
    <col min="4" max="4" width="55.1681415929204" style="65" customWidth="1"/>
    <col min="5" max="5" width="8.16814159292035" style="64" customWidth="1"/>
    <col min="6" max="6" width="8.16814159292035" style="66" customWidth="1"/>
    <col min="7" max="7" width="10.1681415929204" style="64" customWidth="1"/>
    <col min="8" max="8" width="10" style="67" customWidth="1"/>
    <col min="9" max="9" width="10.6637168141593" style="64" customWidth="1"/>
    <col min="10" max="10" width="9" style="64" customWidth="1"/>
    <col min="11" max="11" width="9" style="68" customWidth="1"/>
  </cols>
  <sheetData>
    <row r="1" s="63" customFormat="1" ht="13.85" spans="1:10">
      <c r="A1" s="69" t="s">
        <v>50</v>
      </c>
      <c r="B1" s="70" t="s">
        <v>51</v>
      </c>
      <c r="C1" s="69" t="s">
        <v>52</v>
      </c>
      <c r="D1" s="69" t="s">
        <v>53</v>
      </c>
      <c r="E1" s="69" t="s">
        <v>54</v>
      </c>
      <c r="F1" s="71" t="s">
        <v>55</v>
      </c>
      <c r="G1" s="69" t="s">
        <v>56</v>
      </c>
      <c r="H1" s="69" t="s">
        <v>57</v>
      </c>
      <c r="I1" s="69" t="s">
        <v>58</v>
      </c>
      <c r="J1" s="69" t="s">
        <v>59</v>
      </c>
    </row>
    <row r="2" ht="15" customHeight="1" spans="1:10">
      <c r="A2" s="72" t="s">
        <v>2800</v>
      </c>
      <c r="B2" s="72" t="s">
        <v>27</v>
      </c>
      <c r="C2" s="72" t="s">
        <v>2801</v>
      </c>
      <c r="D2" s="73" t="s">
        <v>2802</v>
      </c>
      <c r="E2" s="72" t="s">
        <v>441</v>
      </c>
      <c r="F2" s="74">
        <v>0</v>
      </c>
      <c r="G2" s="72" t="s">
        <v>65</v>
      </c>
      <c r="H2" s="75">
        <v>225</v>
      </c>
      <c r="I2" s="72"/>
      <c r="J2" s="72"/>
    </row>
    <row r="3" ht="15" customHeight="1" spans="1:10">
      <c r="A3" s="72" t="s">
        <v>2800</v>
      </c>
      <c r="B3" s="72" t="s">
        <v>27</v>
      </c>
      <c r="C3" s="72" t="s">
        <v>2803</v>
      </c>
      <c r="D3" s="73" t="s">
        <v>2804</v>
      </c>
      <c r="E3" s="72" t="s">
        <v>441</v>
      </c>
      <c r="F3" s="74">
        <v>0</v>
      </c>
      <c r="G3" s="72" t="s">
        <v>65</v>
      </c>
      <c r="H3" s="75">
        <v>300</v>
      </c>
      <c r="I3" s="72"/>
      <c r="J3" s="72"/>
    </row>
    <row r="4" ht="30" customHeight="1" spans="1:10">
      <c r="A4" s="72" t="s">
        <v>2805</v>
      </c>
      <c r="B4" s="72" t="s">
        <v>24</v>
      </c>
      <c r="C4" s="72" t="s">
        <v>2806</v>
      </c>
      <c r="D4" s="73" t="s">
        <v>2807</v>
      </c>
      <c r="E4" s="72" t="s">
        <v>284</v>
      </c>
      <c r="F4" s="74">
        <v>0</v>
      </c>
      <c r="G4" s="72" t="s">
        <v>69</v>
      </c>
      <c r="H4" s="75">
        <v>525</v>
      </c>
      <c r="I4" s="72"/>
      <c r="J4" s="72"/>
    </row>
    <row r="5" ht="45" customHeight="1" spans="1:10">
      <c r="A5" s="72" t="s">
        <v>2805</v>
      </c>
      <c r="B5" s="72" t="s">
        <v>22</v>
      </c>
      <c r="C5" s="72" t="s">
        <v>2808</v>
      </c>
      <c r="D5" s="73" t="s">
        <v>2809</v>
      </c>
      <c r="E5" s="72" t="s">
        <v>284</v>
      </c>
      <c r="F5" s="74">
        <v>0</v>
      </c>
      <c r="G5" s="72" t="s">
        <v>69</v>
      </c>
      <c r="H5" s="75">
        <v>1275</v>
      </c>
      <c r="I5" s="72"/>
      <c r="J5" s="72"/>
    </row>
    <row r="6" ht="30" customHeight="1" spans="1:10">
      <c r="A6" s="72" t="s">
        <v>2805</v>
      </c>
      <c r="B6" s="72" t="s">
        <v>22</v>
      </c>
      <c r="C6" s="72" t="s">
        <v>2810</v>
      </c>
      <c r="D6" s="76" t="s">
        <v>2811</v>
      </c>
      <c r="E6" s="72" t="s">
        <v>284</v>
      </c>
      <c r="F6" s="74">
        <v>0</v>
      </c>
      <c r="G6" s="72" t="s">
        <v>69</v>
      </c>
      <c r="H6" s="75">
        <v>975</v>
      </c>
      <c r="I6" s="72"/>
      <c r="J6" s="72"/>
    </row>
    <row r="7" ht="15" customHeight="1" spans="1:10">
      <c r="A7" s="72" t="s">
        <v>2805</v>
      </c>
      <c r="B7" s="72" t="s">
        <v>34</v>
      </c>
      <c r="C7" s="72" t="s">
        <v>2812</v>
      </c>
      <c r="D7" s="76" t="s">
        <v>2813</v>
      </c>
      <c r="E7" s="72" t="s">
        <v>284</v>
      </c>
      <c r="F7" s="74">
        <v>0</v>
      </c>
      <c r="G7" s="72" t="s">
        <v>69</v>
      </c>
      <c r="H7" s="75">
        <v>1425</v>
      </c>
      <c r="I7" s="72"/>
      <c r="J7" s="72"/>
    </row>
  </sheetData>
  <autoFilter xmlns:etc="http://www.wps.cn/officeDocument/2017/etCustomData" ref="A1:J7" etc:filterBottomFollowUsedRange="0">
    <extLst/>
  </autoFilter>
  <pageMargins left="0.75" right="0.75" top="1" bottom="1" header="0.5" footer="0.5"/>
  <pageSetup paperSize="1" scale="68" fitToHeight="9" orientation="landscape"/>
  <headerFooter alignWithMargins="0">
    <oddHeader>&amp;C&amp;"Arial,Bold"&amp;12 AccessoriesWorldwide Price List - February 2015&amp;RAs of 02/09/2015</oddHeader>
    <oddFooter>&amp;CAlcatel-Lucent - Enterprise Solutions Division - Confidential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2:J157"/>
  <sheetViews>
    <sheetView topLeftCell="B1" workbookViewId="0">
      <selection activeCell="C67" sqref="C67"/>
    </sheetView>
  </sheetViews>
  <sheetFormatPr defaultColWidth="10.1681415929204" defaultRowHeight="13.85"/>
  <cols>
    <col min="1" max="1" width="3.66371681415929" style="2" hidden="1" customWidth="1"/>
    <col min="2" max="2" width="6.16814159292035" style="2" customWidth="1"/>
    <col min="3" max="3" width="20" style="2" customWidth="1"/>
    <col min="4" max="4" width="30.6637168141593" style="2" customWidth="1"/>
    <col min="5" max="6" width="6.16814159292035" style="3" customWidth="1"/>
    <col min="7" max="7" width="10.1681415929204" style="3" customWidth="1"/>
    <col min="8" max="8" width="23.1681415929204" style="3" customWidth="1"/>
    <col min="9" max="9" width="9.16814159292035" style="2" customWidth="1"/>
    <col min="10" max="250" width="10.1681415929204" style="2" customWidth="1"/>
    <col min="251" max="251" width="5.66371681415929" style="2" customWidth="1"/>
    <col min="252" max="252" width="7" style="2" customWidth="1"/>
    <col min="253" max="253" width="28.1681415929204" style="2" customWidth="1"/>
    <col min="254" max="254" width="42.1681415929204" style="2" customWidth="1"/>
    <col min="255" max="256" width="8.66371681415929" style="2" customWidth="1"/>
    <col min="257" max="257" width="15.1681415929204" style="2" customWidth="1"/>
    <col min="258" max="258" width="15" style="2" customWidth="1"/>
    <col min="259" max="259" width="12.6637168141593" style="2" customWidth="1"/>
    <col min="260" max="260" width="17.6637168141593" style="2" customWidth="1"/>
    <col min="261" max="261" width="36.6637168141593" style="2" customWidth="1"/>
    <col min="262" max="262" width="6.16814159292035" style="2" customWidth="1"/>
    <col min="263" max="506" width="10.1681415929204" style="2" customWidth="1"/>
    <col min="507" max="507" width="5.66371681415929" style="2" customWidth="1"/>
    <col min="508" max="508" width="7" style="2" customWidth="1"/>
    <col min="509" max="509" width="28.1681415929204" style="2" customWidth="1"/>
    <col min="510" max="510" width="42.1681415929204" style="2" customWidth="1"/>
    <col min="511" max="512" width="8.66371681415929" style="2" customWidth="1"/>
    <col min="513" max="513" width="15.1681415929204" style="2" customWidth="1"/>
    <col min="514" max="514" width="15" style="2" customWidth="1"/>
    <col min="515" max="515" width="12.6637168141593" style="2" customWidth="1"/>
    <col min="516" max="516" width="17.6637168141593" style="2" customWidth="1"/>
    <col min="517" max="517" width="36.6637168141593" style="2" customWidth="1"/>
    <col min="518" max="518" width="6.16814159292035" style="2" customWidth="1"/>
    <col min="519" max="762" width="10.1681415929204" style="2" customWidth="1"/>
    <col min="763" max="763" width="5.66371681415929" style="2" customWidth="1"/>
    <col min="764" max="764" width="7" style="2" customWidth="1"/>
    <col min="765" max="765" width="28.1681415929204" style="2" customWidth="1"/>
    <col min="766" max="766" width="42.1681415929204" style="2" customWidth="1"/>
    <col min="767" max="768" width="8.66371681415929" style="2" customWidth="1"/>
    <col min="769" max="769" width="15.1681415929204" style="2" customWidth="1"/>
    <col min="770" max="770" width="15" style="2" customWidth="1"/>
    <col min="771" max="771" width="12.6637168141593" style="2" customWidth="1"/>
    <col min="772" max="772" width="17.6637168141593" style="2" customWidth="1"/>
    <col min="773" max="773" width="36.6637168141593" style="2" customWidth="1"/>
    <col min="774" max="774" width="6.16814159292035" style="2" customWidth="1"/>
    <col min="775" max="1018" width="10.1681415929204" style="2" customWidth="1"/>
    <col min="1019" max="1019" width="5.66371681415929" style="2" customWidth="1"/>
    <col min="1020" max="1020" width="7" style="2" customWidth="1"/>
    <col min="1021" max="1021" width="28.1681415929204" style="2" customWidth="1"/>
    <col min="1022" max="1022" width="42.1681415929204" style="2" customWidth="1"/>
    <col min="1023" max="1024" width="8.66371681415929" style="2" customWidth="1"/>
    <col min="1025" max="1025" width="15.1681415929204" style="2" customWidth="1"/>
    <col min="1026" max="1026" width="15" style="2" customWidth="1"/>
    <col min="1027" max="1027" width="12.6637168141593" style="2" customWidth="1"/>
    <col min="1028" max="1028" width="17.6637168141593" style="2" customWidth="1"/>
    <col min="1029" max="1029" width="36.6637168141593" style="2" customWidth="1"/>
    <col min="1030" max="1030" width="6.16814159292035" style="2" customWidth="1"/>
    <col min="1031" max="1274" width="10.1681415929204" style="2" customWidth="1"/>
    <col min="1275" max="1275" width="5.66371681415929" style="2" customWidth="1"/>
    <col min="1276" max="1276" width="7" style="2" customWidth="1"/>
    <col min="1277" max="1277" width="28.1681415929204" style="2" customWidth="1"/>
    <col min="1278" max="1278" width="42.1681415929204" style="2" customWidth="1"/>
    <col min="1279" max="1280" width="8.66371681415929" style="2" customWidth="1"/>
    <col min="1281" max="1281" width="15.1681415929204" style="2" customWidth="1"/>
    <col min="1282" max="1282" width="15" style="2" customWidth="1"/>
    <col min="1283" max="1283" width="12.6637168141593" style="2" customWidth="1"/>
    <col min="1284" max="1284" width="17.6637168141593" style="2" customWidth="1"/>
    <col min="1285" max="1285" width="36.6637168141593" style="2" customWidth="1"/>
    <col min="1286" max="1286" width="6.16814159292035" style="2" customWidth="1"/>
    <col min="1287" max="1530" width="10.1681415929204" style="2" customWidth="1"/>
    <col min="1531" max="1531" width="5.66371681415929" style="2" customWidth="1"/>
    <col min="1532" max="1532" width="7" style="2" customWidth="1"/>
    <col min="1533" max="1533" width="28.1681415929204" style="2" customWidth="1"/>
    <col min="1534" max="1534" width="42.1681415929204" style="2" customWidth="1"/>
    <col min="1535" max="1536" width="8.66371681415929" style="2" customWidth="1"/>
    <col min="1537" max="1537" width="15.1681415929204" style="2" customWidth="1"/>
    <col min="1538" max="1538" width="15" style="2" customWidth="1"/>
    <col min="1539" max="1539" width="12.6637168141593" style="2" customWidth="1"/>
    <col min="1540" max="1540" width="17.6637168141593" style="2" customWidth="1"/>
    <col min="1541" max="1541" width="36.6637168141593" style="2" customWidth="1"/>
    <col min="1542" max="1542" width="6.16814159292035" style="2" customWidth="1"/>
    <col min="1543" max="1786" width="10.1681415929204" style="2" customWidth="1"/>
    <col min="1787" max="1787" width="5.66371681415929" style="2" customWidth="1"/>
    <col min="1788" max="1788" width="7" style="2" customWidth="1"/>
    <col min="1789" max="1789" width="28.1681415929204" style="2" customWidth="1"/>
    <col min="1790" max="1790" width="42.1681415929204" style="2" customWidth="1"/>
    <col min="1791" max="1792" width="8.66371681415929" style="2" customWidth="1"/>
    <col min="1793" max="1793" width="15.1681415929204" style="2" customWidth="1"/>
    <col min="1794" max="1794" width="15" style="2" customWidth="1"/>
    <col min="1795" max="1795" width="12.6637168141593" style="2" customWidth="1"/>
    <col min="1796" max="1796" width="17.6637168141593" style="2" customWidth="1"/>
    <col min="1797" max="1797" width="36.6637168141593" style="2" customWidth="1"/>
    <col min="1798" max="1798" width="6.16814159292035" style="2" customWidth="1"/>
    <col min="1799" max="2042" width="10.1681415929204" style="2" customWidth="1"/>
    <col min="2043" max="2043" width="5.66371681415929" style="2" customWidth="1"/>
    <col min="2044" max="2044" width="7" style="2" customWidth="1"/>
    <col min="2045" max="2045" width="28.1681415929204" style="2" customWidth="1"/>
    <col min="2046" max="2046" width="42.1681415929204" style="2" customWidth="1"/>
    <col min="2047" max="2048" width="8.66371681415929" style="2" customWidth="1"/>
    <col min="2049" max="2049" width="15.1681415929204" style="2" customWidth="1"/>
    <col min="2050" max="2050" width="15" style="2" customWidth="1"/>
    <col min="2051" max="2051" width="12.6637168141593" style="2" customWidth="1"/>
    <col min="2052" max="2052" width="17.6637168141593" style="2" customWidth="1"/>
    <col min="2053" max="2053" width="36.6637168141593" style="2" customWidth="1"/>
    <col min="2054" max="2054" width="6.16814159292035" style="2" customWidth="1"/>
    <col min="2055" max="2298" width="10.1681415929204" style="2" customWidth="1"/>
    <col min="2299" max="2299" width="5.66371681415929" style="2" customWidth="1"/>
    <col min="2300" max="2300" width="7" style="2" customWidth="1"/>
    <col min="2301" max="2301" width="28.1681415929204" style="2" customWidth="1"/>
    <col min="2302" max="2302" width="42.1681415929204" style="2" customWidth="1"/>
    <col min="2303" max="2304" width="8.66371681415929" style="2" customWidth="1"/>
    <col min="2305" max="2305" width="15.1681415929204" style="2" customWidth="1"/>
    <col min="2306" max="2306" width="15" style="2" customWidth="1"/>
    <col min="2307" max="2307" width="12.6637168141593" style="2" customWidth="1"/>
    <col min="2308" max="2308" width="17.6637168141593" style="2" customWidth="1"/>
    <col min="2309" max="2309" width="36.6637168141593" style="2" customWidth="1"/>
    <col min="2310" max="2310" width="6.16814159292035" style="2" customWidth="1"/>
    <col min="2311" max="2554" width="10.1681415929204" style="2" customWidth="1"/>
    <col min="2555" max="2555" width="5.66371681415929" style="2" customWidth="1"/>
    <col min="2556" max="2556" width="7" style="2" customWidth="1"/>
    <col min="2557" max="2557" width="28.1681415929204" style="2" customWidth="1"/>
    <col min="2558" max="2558" width="42.1681415929204" style="2" customWidth="1"/>
    <col min="2559" max="2560" width="8.66371681415929" style="2" customWidth="1"/>
    <col min="2561" max="2561" width="15.1681415929204" style="2" customWidth="1"/>
    <col min="2562" max="2562" width="15" style="2" customWidth="1"/>
    <col min="2563" max="2563" width="12.6637168141593" style="2" customWidth="1"/>
    <col min="2564" max="2564" width="17.6637168141593" style="2" customWidth="1"/>
    <col min="2565" max="2565" width="36.6637168141593" style="2" customWidth="1"/>
    <col min="2566" max="2566" width="6.16814159292035" style="2" customWidth="1"/>
    <col min="2567" max="2810" width="10.1681415929204" style="2" customWidth="1"/>
    <col min="2811" max="2811" width="5.66371681415929" style="2" customWidth="1"/>
    <col min="2812" max="2812" width="7" style="2" customWidth="1"/>
    <col min="2813" max="2813" width="28.1681415929204" style="2" customWidth="1"/>
    <col min="2814" max="2814" width="42.1681415929204" style="2" customWidth="1"/>
    <col min="2815" max="2816" width="8.66371681415929" style="2" customWidth="1"/>
    <col min="2817" max="2817" width="15.1681415929204" style="2" customWidth="1"/>
    <col min="2818" max="2818" width="15" style="2" customWidth="1"/>
    <col min="2819" max="2819" width="12.6637168141593" style="2" customWidth="1"/>
    <col min="2820" max="2820" width="17.6637168141593" style="2" customWidth="1"/>
    <col min="2821" max="2821" width="36.6637168141593" style="2" customWidth="1"/>
    <col min="2822" max="2822" width="6.16814159292035" style="2" customWidth="1"/>
    <col min="2823" max="3066" width="10.1681415929204" style="2" customWidth="1"/>
    <col min="3067" max="3067" width="5.66371681415929" style="2" customWidth="1"/>
    <col min="3068" max="3068" width="7" style="2" customWidth="1"/>
    <col min="3069" max="3069" width="28.1681415929204" style="2" customWidth="1"/>
    <col min="3070" max="3070" width="42.1681415929204" style="2" customWidth="1"/>
    <col min="3071" max="3072" width="8.66371681415929" style="2" customWidth="1"/>
    <col min="3073" max="3073" width="15.1681415929204" style="2" customWidth="1"/>
    <col min="3074" max="3074" width="15" style="2" customWidth="1"/>
    <col min="3075" max="3075" width="12.6637168141593" style="2" customWidth="1"/>
    <col min="3076" max="3076" width="17.6637168141593" style="2" customWidth="1"/>
    <col min="3077" max="3077" width="36.6637168141593" style="2" customWidth="1"/>
    <col min="3078" max="3078" width="6.16814159292035" style="2" customWidth="1"/>
    <col min="3079" max="3322" width="10.1681415929204" style="2" customWidth="1"/>
    <col min="3323" max="3323" width="5.66371681415929" style="2" customWidth="1"/>
    <col min="3324" max="3324" width="7" style="2" customWidth="1"/>
    <col min="3325" max="3325" width="28.1681415929204" style="2" customWidth="1"/>
    <col min="3326" max="3326" width="42.1681415929204" style="2" customWidth="1"/>
    <col min="3327" max="3328" width="8.66371681415929" style="2" customWidth="1"/>
    <col min="3329" max="3329" width="15.1681415929204" style="2" customWidth="1"/>
    <col min="3330" max="3330" width="15" style="2" customWidth="1"/>
    <col min="3331" max="3331" width="12.6637168141593" style="2" customWidth="1"/>
    <col min="3332" max="3332" width="17.6637168141593" style="2" customWidth="1"/>
    <col min="3333" max="3333" width="36.6637168141593" style="2" customWidth="1"/>
    <col min="3334" max="3334" width="6.16814159292035" style="2" customWidth="1"/>
    <col min="3335" max="3578" width="10.1681415929204" style="2" customWidth="1"/>
    <col min="3579" max="3579" width="5.66371681415929" style="2" customWidth="1"/>
    <col min="3580" max="3580" width="7" style="2" customWidth="1"/>
    <col min="3581" max="3581" width="28.1681415929204" style="2" customWidth="1"/>
    <col min="3582" max="3582" width="42.1681415929204" style="2" customWidth="1"/>
    <col min="3583" max="3584" width="8.66371681415929" style="2" customWidth="1"/>
    <col min="3585" max="3585" width="15.1681415929204" style="2" customWidth="1"/>
    <col min="3586" max="3586" width="15" style="2" customWidth="1"/>
    <col min="3587" max="3587" width="12.6637168141593" style="2" customWidth="1"/>
    <col min="3588" max="3588" width="17.6637168141593" style="2" customWidth="1"/>
    <col min="3589" max="3589" width="36.6637168141593" style="2" customWidth="1"/>
    <col min="3590" max="3590" width="6.16814159292035" style="2" customWidth="1"/>
    <col min="3591" max="3834" width="10.1681415929204" style="2" customWidth="1"/>
    <col min="3835" max="3835" width="5.66371681415929" style="2" customWidth="1"/>
    <col min="3836" max="3836" width="7" style="2" customWidth="1"/>
    <col min="3837" max="3837" width="28.1681415929204" style="2" customWidth="1"/>
    <col min="3838" max="3838" width="42.1681415929204" style="2" customWidth="1"/>
    <col min="3839" max="3840" width="8.66371681415929" style="2" customWidth="1"/>
    <col min="3841" max="3841" width="15.1681415929204" style="2" customWidth="1"/>
    <col min="3842" max="3842" width="15" style="2" customWidth="1"/>
    <col min="3843" max="3843" width="12.6637168141593" style="2" customWidth="1"/>
    <col min="3844" max="3844" width="17.6637168141593" style="2" customWidth="1"/>
    <col min="3845" max="3845" width="36.6637168141593" style="2" customWidth="1"/>
    <col min="3846" max="3846" width="6.16814159292035" style="2" customWidth="1"/>
    <col min="3847" max="4090" width="10.1681415929204" style="2" customWidth="1"/>
    <col min="4091" max="4091" width="5.66371681415929" style="2" customWidth="1"/>
    <col min="4092" max="4092" width="7" style="2" customWidth="1"/>
    <col min="4093" max="4093" width="28.1681415929204" style="2" customWidth="1"/>
    <col min="4094" max="4094" width="42.1681415929204" style="2" customWidth="1"/>
    <col min="4095" max="4096" width="8.66371681415929" style="2" customWidth="1"/>
    <col min="4097" max="4097" width="15.1681415929204" style="2" customWidth="1"/>
    <col min="4098" max="4098" width="15" style="2" customWidth="1"/>
    <col min="4099" max="4099" width="12.6637168141593" style="2" customWidth="1"/>
    <col min="4100" max="4100" width="17.6637168141593" style="2" customWidth="1"/>
    <col min="4101" max="4101" width="36.6637168141593" style="2" customWidth="1"/>
    <col min="4102" max="4102" width="6.16814159292035" style="2" customWidth="1"/>
    <col min="4103" max="4346" width="10.1681415929204" style="2" customWidth="1"/>
    <col min="4347" max="4347" width="5.66371681415929" style="2" customWidth="1"/>
    <col min="4348" max="4348" width="7" style="2" customWidth="1"/>
    <col min="4349" max="4349" width="28.1681415929204" style="2" customWidth="1"/>
    <col min="4350" max="4350" width="42.1681415929204" style="2" customWidth="1"/>
    <col min="4351" max="4352" width="8.66371681415929" style="2" customWidth="1"/>
    <col min="4353" max="4353" width="15.1681415929204" style="2" customWidth="1"/>
    <col min="4354" max="4354" width="15" style="2" customWidth="1"/>
    <col min="4355" max="4355" width="12.6637168141593" style="2" customWidth="1"/>
    <col min="4356" max="4356" width="17.6637168141593" style="2" customWidth="1"/>
    <col min="4357" max="4357" width="36.6637168141593" style="2" customWidth="1"/>
    <col min="4358" max="4358" width="6.16814159292035" style="2" customWidth="1"/>
    <col min="4359" max="4602" width="10.1681415929204" style="2" customWidth="1"/>
    <col min="4603" max="4603" width="5.66371681415929" style="2" customWidth="1"/>
    <col min="4604" max="4604" width="7" style="2" customWidth="1"/>
    <col min="4605" max="4605" width="28.1681415929204" style="2" customWidth="1"/>
    <col min="4606" max="4606" width="42.1681415929204" style="2" customWidth="1"/>
    <col min="4607" max="4608" width="8.66371681415929" style="2" customWidth="1"/>
    <col min="4609" max="4609" width="15.1681415929204" style="2" customWidth="1"/>
    <col min="4610" max="4610" width="15" style="2" customWidth="1"/>
    <col min="4611" max="4611" width="12.6637168141593" style="2" customWidth="1"/>
    <col min="4612" max="4612" width="17.6637168141593" style="2" customWidth="1"/>
    <col min="4613" max="4613" width="36.6637168141593" style="2" customWidth="1"/>
    <col min="4614" max="4614" width="6.16814159292035" style="2" customWidth="1"/>
    <col min="4615" max="4858" width="10.1681415929204" style="2" customWidth="1"/>
    <col min="4859" max="4859" width="5.66371681415929" style="2" customWidth="1"/>
    <col min="4860" max="4860" width="7" style="2" customWidth="1"/>
    <col min="4861" max="4861" width="28.1681415929204" style="2" customWidth="1"/>
    <col min="4862" max="4862" width="42.1681415929204" style="2" customWidth="1"/>
    <col min="4863" max="4864" width="8.66371681415929" style="2" customWidth="1"/>
    <col min="4865" max="4865" width="15.1681415929204" style="2" customWidth="1"/>
    <col min="4866" max="4866" width="15" style="2" customWidth="1"/>
    <col min="4867" max="4867" width="12.6637168141593" style="2" customWidth="1"/>
    <col min="4868" max="4868" width="17.6637168141593" style="2" customWidth="1"/>
    <col min="4869" max="4869" width="36.6637168141593" style="2" customWidth="1"/>
    <col min="4870" max="4870" width="6.16814159292035" style="2" customWidth="1"/>
    <col min="4871" max="5114" width="10.1681415929204" style="2" customWidth="1"/>
    <col min="5115" max="5115" width="5.66371681415929" style="2" customWidth="1"/>
    <col min="5116" max="5116" width="7" style="2" customWidth="1"/>
    <col min="5117" max="5117" width="28.1681415929204" style="2" customWidth="1"/>
    <col min="5118" max="5118" width="42.1681415929204" style="2" customWidth="1"/>
    <col min="5119" max="5120" width="8.66371681415929" style="2" customWidth="1"/>
    <col min="5121" max="5121" width="15.1681415929204" style="2" customWidth="1"/>
    <col min="5122" max="5122" width="15" style="2" customWidth="1"/>
    <col min="5123" max="5123" width="12.6637168141593" style="2" customWidth="1"/>
    <col min="5124" max="5124" width="17.6637168141593" style="2" customWidth="1"/>
    <col min="5125" max="5125" width="36.6637168141593" style="2" customWidth="1"/>
    <col min="5126" max="5126" width="6.16814159292035" style="2" customWidth="1"/>
    <col min="5127" max="5370" width="10.1681415929204" style="2" customWidth="1"/>
    <col min="5371" max="5371" width="5.66371681415929" style="2" customWidth="1"/>
    <col min="5372" max="5372" width="7" style="2" customWidth="1"/>
    <col min="5373" max="5373" width="28.1681415929204" style="2" customWidth="1"/>
    <col min="5374" max="5374" width="42.1681415929204" style="2" customWidth="1"/>
    <col min="5375" max="5376" width="8.66371681415929" style="2" customWidth="1"/>
    <col min="5377" max="5377" width="15.1681415929204" style="2" customWidth="1"/>
    <col min="5378" max="5378" width="15" style="2" customWidth="1"/>
    <col min="5379" max="5379" width="12.6637168141593" style="2" customWidth="1"/>
    <col min="5380" max="5380" width="17.6637168141593" style="2" customWidth="1"/>
    <col min="5381" max="5381" width="36.6637168141593" style="2" customWidth="1"/>
    <col min="5382" max="5382" width="6.16814159292035" style="2" customWidth="1"/>
    <col min="5383" max="5626" width="10.1681415929204" style="2" customWidth="1"/>
    <col min="5627" max="5627" width="5.66371681415929" style="2" customWidth="1"/>
    <col min="5628" max="5628" width="7" style="2" customWidth="1"/>
    <col min="5629" max="5629" width="28.1681415929204" style="2" customWidth="1"/>
    <col min="5630" max="5630" width="42.1681415929204" style="2" customWidth="1"/>
    <col min="5631" max="5632" width="8.66371681415929" style="2" customWidth="1"/>
    <col min="5633" max="5633" width="15.1681415929204" style="2" customWidth="1"/>
    <col min="5634" max="5634" width="15" style="2" customWidth="1"/>
    <col min="5635" max="5635" width="12.6637168141593" style="2" customWidth="1"/>
    <col min="5636" max="5636" width="17.6637168141593" style="2" customWidth="1"/>
    <col min="5637" max="5637" width="36.6637168141593" style="2" customWidth="1"/>
    <col min="5638" max="5638" width="6.16814159292035" style="2" customWidth="1"/>
    <col min="5639" max="5882" width="10.1681415929204" style="2" customWidth="1"/>
    <col min="5883" max="5883" width="5.66371681415929" style="2" customWidth="1"/>
    <col min="5884" max="5884" width="7" style="2" customWidth="1"/>
    <col min="5885" max="5885" width="28.1681415929204" style="2" customWidth="1"/>
    <col min="5886" max="5886" width="42.1681415929204" style="2" customWidth="1"/>
    <col min="5887" max="5888" width="8.66371681415929" style="2" customWidth="1"/>
    <col min="5889" max="5889" width="15.1681415929204" style="2" customWidth="1"/>
    <col min="5890" max="5890" width="15" style="2" customWidth="1"/>
    <col min="5891" max="5891" width="12.6637168141593" style="2" customWidth="1"/>
    <col min="5892" max="5892" width="17.6637168141593" style="2" customWidth="1"/>
    <col min="5893" max="5893" width="36.6637168141593" style="2" customWidth="1"/>
    <col min="5894" max="5894" width="6.16814159292035" style="2" customWidth="1"/>
    <col min="5895" max="6138" width="10.1681415929204" style="2" customWidth="1"/>
    <col min="6139" max="6139" width="5.66371681415929" style="2" customWidth="1"/>
    <col min="6140" max="6140" width="7" style="2" customWidth="1"/>
    <col min="6141" max="6141" width="28.1681415929204" style="2" customWidth="1"/>
    <col min="6142" max="6142" width="42.1681415929204" style="2" customWidth="1"/>
    <col min="6143" max="6144" width="8.66371681415929" style="2" customWidth="1"/>
    <col min="6145" max="6145" width="15.1681415929204" style="2" customWidth="1"/>
    <col min="6146" max="6146" width="15" style="2" customWidth="1"/>
    <col min="6147" max="6147" width="12.6637168141593" style="2" customWidth="1"/>
    <col min="6148" max="6148" width="17.6637168141593" style="2" customWidth="1"/>
    <col min="6149" max="6149" width="36.6637168141593" style="2" customWidth="1"/>
    <col min="6150" max="6150" width="6.16814159292035" style="2" customWidth="1"/>
    <col min="6151" max="6394" width="10.1681415929204" style="2" customWidth="1"/>
    <col min="6395" max="6395" width="5.66371681415929" style="2" customWidth="1"/>
    <col min="6396" max="6396" width="7" style="2" customWidth="1"/>
    <col min="6397" max="6397" width="28.1681415929204" style="2" customWidth="1"/>
    <col min="6398" max="6398" width="42.1681415929204" style="2" customWidth="1"/>
    <col min="6399" max="6400" width="8.66371681415929" style="2" customWidth="1"/>
    <col min="6401" max="6401" width="15.1681415929204" style="2" customWidth="1"/>
    <col min="6402" max="6402" width="15" style="2" customWidth="1"/>
    <col min="6403" max="6403" width="12.6637168141593" style="2" customWidth="1"/>
    <col min="6404" max="6404" width="17.6637168141593" style="2" customWidth="1"/>
    <col min="6405" max="6405" width="36.6637168141593" style="2" customWidth="1"/>
    <col min="6406" max="6406" width="6.16814159292035" style="2" customWidth="1"/>
    <col min="6407" max="6650" width="10.1681415929204" style="2" customWidth="1"/>
    <col min="6651" max="6651" width="5.66371681415929" style="2" customWidth="1"/>
    <col min="6652" max="6652" width="7" style="2" customWidth="1"/>
    <col min="6653" max="6653" width="28.1681415929204" style="2" customWidth="1"/>
    <col min="6654" max="6654" width="42.1681415929204" style="2" customWidth="1"/>
    <col min="6655" max="6656" width="8.66371681415929" style="2" customWidth="1"/>
    <col min="6657" max="6657" width="15.1681415929204" style="2" customWidth="1"/>
    <col min="6658" max="6658" width="15" style="2" customWidth="1"/>
    <col min="6659" max="6659" width="12.6637168141593" style="2" customWidth="1"/>
    <col min="6660" max="6660" width="17.6637168141593" style="2" customWidth="1"/>
    <col min="6661" max="6661" width="36.6637168141593" style="2" customWidth="1"/>
    <col min="6662" max="6662" width="6.16814159292035" style="2" customWidth="1"/>
    <col min="6663" max="6906" width="10.1681415929204" style="2" customWidth="1"/>
    <col min="6907" max="6907" width="5.66371681415929" style="2" customWidth="1"/>
    <col min="6908" max="6908" width="7" style="2" customWidth="1"/>
    <col min="6909" max="6909" width="28.1681415929204" style="2" customWidth="1"/>
    <col min="6910" max="6910" width="42.1681415929204" style="2" customWidth="1"/>
    <col min="6911" max="6912" width="8.66371681415929" style="2" customWidth="1"/>
    <col min="6913" max="6913" width="15.1681415929204" style="2" customWidth="1"/>
    <col min="6914" max="6914" width="15" style="2" customWidth="1"/>
    <col min="6915" max="6915" width="12.6637168141593" style="2" customWidth="1"/>
    <col min="6916" max="6916" width="17.6637168141593" style="2" customWidth="1"/>
    <col min="6917" max="6917" width="36.6637168141593" style="2" customWidth="1"/>
    <col min="6918" max="6918" width="6.16814159292035" style="2" customWidth="1"/>
    <col min="6919" max="7162" width="10.1681415929204" style="2" customWidth="1"/>
    <col min="7163" max="7163" width="5.66371681415929" style="2" customWidth="1"/>
    <col min="7164" max="7164" width="7" style="2" customWidth="1"/>
    <col min="7165" max="7165" width="28.1681415929204" style="2" customWidth="1"/>
    <col min="7166" max="7166" width="42.1681415929204" style="2" customWidth="1"/>
    <col min="7167" max="7168" width="8.66371681415929" style="2" customWidth="1"/>
    <col min="7169" max="7169" width="15.1681415929204" style="2" customWidth="1"/>
    <col min="7170" max="7170" width="15" style="2" customWidth="1"/>
    <col min="7171" max="7171" width="12.6637168141593" style="2" customWidth="1"/>
    <col min="7172" max="7172" width="17.6637168141593" style="2" customWidth="1"/>
    <col min="7173" max="7173" width="36.6637168141593" style="2" customWidth="1"/>
    <col min="7174" max="7174" width="6.16814159292035" style="2" customWidth="1"/>
    <col min="7175" max="7418" width="10.1681415929204" style="2" customWidth="1"/>
    <col min="7419" max="7419" width="5.66371681415929" style="2" customWidth="1"/>
    <col min="7420" max="7420" width="7" style="2" customWidth="1"/>
    <col min="7421" max="7421" width="28.1681415929204" style="2" customWidth="1"/>
    <col min="7422" max="7422" width="42.1681415929204" style="2" customWidth="1"/>
    <col min="7423" max="7424" width="8.66371681415929" style="2" customWidth="1"/>
    <col min="7425" max="7425" width="15.1681415929204" style="2" customWidth="1"/>
    <col min="7426" max="7426" width="15" style="2" customWidth="1"/>
    <col min="7427" max="7427" width="12.6637168141593" style="2" customWidth="1"/>
    <col min="7428" max="7428" width="17.6637168141593" style="2" customWidth="1"/>
    <col min="7429" max="7429" width="36.6637168141593" style="2" customWidth="1"/>
    <col min="7430" max="7430" width="6.16814159292035" style="2" customWidth="1"/>
    <col min="7431" max="7674" width="10.1681415929204" style="2" customWidth="1"/>
    <col min="7675" max="7675" width="5.66371681415929" style="2" customWidth="1"/>
    <col min="7676" max="7676" width="7" style="2" customWidth="1"/>
    <col min="7677" max="7677" width="28.1681415929204" style="2" customWidth="1"/>
    <col min="7678" max="7678" width="42.1681415929204" style="2" customWidth="1"/>
    <col min="7679" max="7680" width="8.66371681415929" style="2" customWidth="1"/>
    <col min="7681" max="7681" width="15.1681415929204" style="2" customWidth="1"/>
    <col min="7682" max="7682" width="15" style="2" customWidth="1"/>
    <col min="7683" max="7683" width="12.6637168141593" style="2" customWidth="1"/>
    <col min="7684" max="7684" width="17.6637168141593" style="2" customWidth="1"/>
    <col min="7685" max="7685" width="36.6637168141593" style="2" customWidth="1"/>
    <col min="7686" max="7686" width="6.16814159292035" style="2" customWidth="1"/>
    <col min="7687" max="7930" width="10.1681415929204" style="2" customWidth="1"/>
    <col min="7931" max="7931" width="5.66371681415929" style="2" customWidth="1"/>
    <col min="7932" max="7932" width="7" style="2" customWidth="1"/>
    <col min="7933" max="7933" width="28.1681415929204" style="2" customWidth="1"/>
    <col min="7934" max="7934" width="42.1681415929204" style="2" customWidth="1"/>
    <col min="7935" max="7936" width="8.66371681415929" style="2" customWidth="1"/>
    <col min="7937" max="7937" width="15.1681415929204" style="2" customWidth="1"/>
    <col min="7938" max="7938" width="15" style="2" customWidth="1"/>
    <col min="7939" max="7939" width="12.6637168141593" style="2" customWidth="1"/>
    <col min="7940" max="7940" width="17.6637168141593" style="2" customWidth="1"/>
    <col min="7941" max="7941" width="36.6637168141593" style="2" customWidth="1"/>
    <col min="7942" max="7942" width="6.16814159292035" style="2" customWidth="1"/>
    <col min="7943" max="8186" width="10.1681415929204" style="2" customWidth="1"/>
    <col min="8187" max="8187" width="5.66371681415929" style="2" customWidth="1"/>
    <col min="8188" max="8188" width="7" style="2" customWidth="1"/>
    <col min="8189" max="8189" width="28.1681415929204" style="2" customWidth="1"/>
    <col min="8190" max="8190" width="42.1681415929204" style="2" customWidth="1"/>
    <col min="8191" max="8192" width="8.66371681415929" style="2" customWidth="1"/>
    <col min="8193" max="8193" width="15.1681415929204" style="2" customWidth="1"/>
    <col min="8194" max="8194" width="15" style="2" customWidth="1"/>
    <col min="8195" max="8195" width="12.6637168141593" style="2" customWidth="1"/>
    <col min="8196" max="8196" width="17.6637168141593" style="2" customWidth="1"/>
    <col min="8197" max="8197" width="36.6637168141593" style="2" customWidth="1"/>
    <col min="8198" max="8198" width="6.16814159292035" style="2" customWidth="1"/>
    <col min="8199" max="8442" width="10.1681415929204" style="2" customWidth="1"/>
    <col min="8443" max="8443" width="5.66371681415929" style="2" customWidth="1"/>
    <col min="8444" max="8444" width="7" style="2" customWidth="1"/>
    <col min="8445" max="8445" width="28.1681415929204" style="2" customWidth="1"/>
    <col min="8446" max="8446" width="42.1681415929204" style="2" customWidth="1"/>
    <col min="8447" max="8448" width="8.66371681415929" style="2" customWidth="1"/>
    <col min="8449" max="8449" width="15.1681415929204" style="2" customWidth="1"/>
    <col min="8450" max="8450" width="15" style="2" customWidth="1"/>
    <col min="8451" max="8451" width="12.6637168141593" style="2" customWidth="1"/>
    <col min="8452" max="8452" width="17.6637168141593" style="2" customWidth="1"/>
    <col min="8453" max="8453" width="36.6637168141593" style="2" customWidth="1"/>
    <col min="8454" max="8454" width="6.16814159292035" style="2" customWidth="1"/>
    <col min="8455" max="8698" width="10.1681415929204" style="2" customWidth="1"/>
    <col min="8699" max="8699" width="5.66371681415929" style="2" customWidth="1"/>
    <col min="8700" max="8700" width="7" style="2" customWidth="1"/>
    <col min="8701" max="8701" width="28.1681415929204" style="2" customWidth="1"/>
    <col min="8702" max="8702" width="42.1681415929204" style="2" customWidth="1"/>
    <col min="8703" max="8704" width="8.66371681415929" style="2" customWidth="1"/>
    <col min="8705" max="8705" width="15.1681415929204" style="2" customWidth="1"/>
    <col min="8706" max="8706" width="15" style="2" customWidth="1"/>
    <col min="8707" max="8707" width="12.6637168141593" style="2" customWidth="1"/>
    <col min="8708" max="8708" width="17.6637168141593" style="2" customWidth="1"/>
    <col min="8709" max="8709" width="36.6637168141593" style="2" customWidth="1"/>
    <col min="8710" max="8710" width="6.16814159292035" style="2" customWidth="1"/>
    <col min="8711" max="8954" width="10.1681415929204" style="2" customWidth="1"/>
    <col min="8955" max="8955" width="5.66371681415929" style="2" customWidth="1"/>
    <col min="8956" max="8956" width="7" style="2" customWidth="1"/>
    <col min="8957" max="8957" width="28.1681415929204" style="2" customWidth="1"/>
    <col min="8958" max="8958" width="42.1681415929204" style="2" customWidth="1"/>
    <col min="8959" max="8960" width="8.66371681415929" style="2" customWidth="1"/>
    <col min="8961" max="8961" width="15.1681415929204" style="2" customWidth="1"/>
    <col min="8962" max="8962" width="15" style="2" customWidth="1"/>
    <col min="8963" max="8963" width="12.6637168141593" style="2" customWidth="1"/>
    <col min="8964" max="8964" width="17.6637168141593" style="2" customWidth="1"/>
    <col min="8965" max="8965" width="36.6637168141593" style="2" customWidth="1"/>
    <col min="8966" max="8966" width="6.16814159292035" style="2" customWidth="1"/>
    <col min="8967" max="9210" width="10.1681415929204" style="2" customWidth="1"/>
    <col min="9211" max="9211" width="5.66371681415929" style="2" customWidth="1"/>
    <col min="9212" max="9212" width="7" style="2" customWidth="1"/>
    <col min="9213" max="9213" width="28.1681415929204" style="2" customWidth="1"/>
    <col min="9214" max="9214" width="42.1681415929204" style="2" customWidth="1"/>
    <col min="9215" max="9216" width="8.66371681415929" style="2" customWidth="1"/>
    <col min="9217" max="9217" width="15.1681415929204" style="2" customWidth="1"/>
    <col min="9218" max="9218" width="15" style="2" customWidth="1"/>
    <col min="9219" max="9219" width="12.6637168141593" style="2" customWidth="1"/>
    <col min="9220" max="9220" width="17.6637168141593" style="2" customWidth="1"/>
    <col min="9221" max="9221" width="36.6637168141593" style="2" customWidth="1"/>
    <col min="9222" max="9222" width="6.16814159292035" style="2" customWidth="1"/>
    <col min="9223" max="9466" width="10.1681415929204" style="2" customWidth="1"/>
    <col min="9467" max="9467" width="5.66371681415929" style="2" customWidth="1"/>
    <col min="9468" max="9468" width="7" style="2" customWidth="1"/>
    <col min="9469" max="9469" width="28.1681415929204" style="2" customWidth="1"/>
    <col min="9470" max="9470" width="42.1681415929204" style="2" customWidth="1"/>
    <col min="9471" max="9472" width="8.66371681415929" style="2" customWidth="1"/>
    <col min="9473" max="9473" width="15.1681415929204" style="2" customWidth="1"/>
    <col min="9474" max="9474" width="15" style="2" customWidth="1"/>
    <col min="9475" max="9475" width="12.6637168141593" style="2" customWidth="1"/>
    <col min="9476" max="9476" width="17.6637168141593" style="2" customWidth="1"/>
    <col min="9477" max="9477" width="36.6637168141593" style="2" customWidth="1"/>
    <col min="9478" max="9478" width="6.16814159292035" style="2" customWidth="1"/>
    <col min="9479" max="9722" width="10.1681415929204" style="2" customWidth="1"/>
    <col min="9723" max="9723" width="5.66371681415929" style="2" customWidth="1"/>
    <col min="9724" max="9724" width="7" style="2" customWidth="1"/>
    <col min="9725" max="9725" width="28.1681415929204" style="2" customWidth="1"/>
    <col min="9726" max="9726" width="42.1681415929204" style="2" customWidth="1"/>
    <col min="9727" max="9728" width="8.66371681415929" style="2" customWidth="1"/>
    <col min="9729" max="9729" width="15.1681415929204" style="2" customWidth="1"/>
    <col min="9730" max="9730" width="15" style="2" customWidth="1"/>
    <col min="9731" max="9731" width="12.6637168141593" style="2" customWidth="1"/>
    <col min="9732" max="9732" width="17.6637168141593" style="2" customWidth="1"/>
    <col min="9733" max="9733" width="36.6637168141593" style="2" customWidth="1"/>
    <col min="9734" max="9734" width="6.16814159292035" style="2" customWidth="1"/>
    <col min="9735" max="9978" width="10.1681415929204" style="2" customWidth="1"/>
    <col min="9979" max="9979" width="5.66371681415929" style="2" customWidth="1"/>
    <col min="9980" max="9980" width="7" style="2" customWidth="1"/>
    <col min="9981" max="9981" width="28.1681415929204" style="2" customWidth="1"/>
    <col min="9982" max="9982" width="42.1681415929204" style="2" customWidth="1"/>
    <col min="9983" max="9984" width="8.66371681415929" style="2" customWidth="1"/>
    <col min="9985" max="9985" width="15.1681415929204" style="2" customWidth="1"/>
    <col min="9986" max="9986" width="15" style="2" customWidth="1"/>
    <col min="9987" max="9987" width="12.6637168141593" style="2" customWidth="1"/>
    <col min="9988" max="9988" width="17.6637168141593" style="2" customWidth="1"/>
    <col min="9989" max="9989" width="36.6637168141593" style="2" customWidth="1"/>
    <col min="9990" max="9990" width="6.16814159292035" style="2" customWidth="1"/>
    <col min="9991" max="10234" width="10.1681415929204" style="2" customWidth="1"/>
    <col min="10235" max="10235" width="5.66371681415929" style="2" customWidth="1"/>
    <col min="10236" max="10236" width="7" style="2" customWidth="1"/>
    <col min="10237" max="10237" width="28.1681415929204" style="2" customWidth="1"/>
    <col min="10238" max="10238" width="42.1681415929204" style="2" customWidth="1"/>
    <col min="10239" max="10240" width="8.66371681415929" style="2" customWidth="1"/>
    <col min="10241" max="10241" width="15.1681415929204" style="2" customWidth="1"/>
    <col min="10242" max="10242" width="15" style="2" customWidth="1"/>
    <col min="10243" max="10243" width="12.6637168141593" style="2" customWidth="1"/>
    <col min="10244" max="10244" width="17.6637168141593" style="2" customWidth="1"/>
    <col min="10245" max="10245" width="36.6637168141593" style="2" customWidth="1"/>
    <col min="10246" max="10246" width="6.16814159292035" style="2" customWidth="1"/>
    <col min="10247" max="10490" width="10.1681415929204" style="2" customWidth="1"/>
    <col min="10491" max="10491" width="5.66371681415929" style="2" customWidth="1"/>
    <col min="10492" max="10492" width="7" style="2" customWidth="1"/>
    <col min="10493" max="10493" width="28.1681415929204" style="2" customWidth="1"/>
    <col min="10494" max="10494" width="42.1681415929204" style="2" customWidth="1"/>
    <col min="10495" max="10496" width="8.66371681415929" style="2" customWidth="1"/>
    <col min="10497" max="10497" width="15.1681415929204" style="2" customWidth="1"/>
    <col min="10498" max="10498" width="15" style="2" customWidth="1"/>
    <col min="10499" max="10499" width="12.6637168141593" style="2" customWidth="1"/>
    <col min="10500" max="10500" width="17.6637168141593" style="2" customWidth="1"/>
    <col min="10501" max="10501" width="36.6637168141593" style="2" customWidth="1"/>
    <col min="10502" max="10502" width="6.16814159292035" style="2" customWidth="1"/>
    <col min="10503" max="10746" width="10.1681415929204" style="2" customWidth="1"/>
    <col min="10747" max="10747" width="5.66371681415929" style="2" customWidth="1"/>
    <col min="10748" max="10748" width="7" style="2" customWidth="1"/>
    <col min="10749" max="10749" width="28.1681415929204" style="2" customWidth="1"/>
    <col min="10750" max="10750" width="42.1681415929204" style="2" customWidth="1"/>
    <col min="10751" max="10752" width="8.66371681415929" style="2" customWidth="1"/>
    <col min="10753" max="10753" width="15.1681415929204" style="2" customWidth="1"/>
    <col min="10754" max="10754" width="15" style="2" customWidth="1"/>
    <col min="10755" max="10755" width="12.6637168141593" style="2" customWidth="1"/>
    <col min="10756" max="10756" width="17.6637168141593" style="2" customWidth="1"/>
    <col min="10757" max="10757" width="36.6637168141593" style="2" customWidth="1"/>
    <col min="10758" max="10758" width="6.16814159292035" style="2" customWidth="1"/>
    <col min="10759" max="11002" width="10.1681415929204" style="2" customWidth="1"/>
    <col min="11003" max="11003" width="5.66371681415929" style="2" customWidth="1"/>
    <col min="11004" max="11004" width="7" style="2" customWidth="1"/>
    <col min="11005" max="11005" width="28.1681415929204" style="2" customWidth="1"/>
    <col min="11006" max="11006" width="42.1681415929204" style="2" customWidth="1"/>
    <col min="11007" max="11008" width="8.66371681415929" style="2" customWidth="1"/>
    <col min="11009" max="11009" width="15.1681415929204" style="2" customWidth="1"/>
    <col min="11010" max="11010" width="15" style="2" customWidth="1"/>
    <col min="11011" max="11011" width="12.6637168141593" style="2" customWidth="1"/>
    <col min="11012" max="11012" width="17.6637168141593" style="2" customWidth="1"/>
    <col min="11013" max="11013" width="36.6637168141593" style="2" customWidth="1"/>
    <col min="11014" max="11014" width="6.16814159292035" style="2" customWidth="1"/>
    <col min="11015" max="11258" width="10.1681415929204" style="2" customWidth="1"/>
    <col min="11259" max="11259" width="5.66371681415929" style="2" customWidth="1"/>
    <col min="11260" max="11260" width="7" style="2" customWidth="1"/>
    <col min="11261" max="11261" width="28.1681415929204" style="2" customWidth="1"/>
    <col min="11262" max="11262" width="42.1681415929204" style="2" customWidth="1"/>
    <col min="11263" max="11264" width="8.66371681415929" style="2" customWidth="1"/>
    <col min="11265" max="11265" width="15.1681415929204" style="2" customWidth="1"/>
    <col min="11266" max="11266" width="15" style="2" customWidth="1"/>
    <col min="11267" max="11267" width="12.6637168141593" style="2" customWidth="1"/>
    <col min="11268" max="11268" width="17.6637168141593" style="2" customWidth="1"/>
    <col min="11269" max="11269" width="36.6637168141593" style="2" customWidth="1"/>
    <col min="11270" max="11270" width="6.16814159292035" style="2" customWidth="1"/>
    <col min="11271" max="11514" width="10.1681415929204" style="2" customWidth="1"/>
    <col min="11515" max="11515" width="5.66371681415929" style="2" customWidth="1"/>
    <col min="11516" max="11516" width="7" style="2" customWidth="1"/>
    <col min="11517" max="11517" width="28.1681415929204" style="2" customWidth="1"/>
    <col min="11518" max="11518" width="42.1681415929204" style="2" customWidth="1"/>
    <col min="11519" max="11520" width="8.66371681415929" style="2" customWidth="1"/>
    <col min="11521" max="11521" width="15.1681415929204" style="2" customWidth="1"/>
    <col min="11522" max="11522" width="15" style="2" customWidth="1"/>
    <col min="11523" max="11523" width="12.6637168141593" style="2" customWidth="1"/>
    <col min="11524" max="11524" width="17.6637168141593" style="2" customWidth="1"/>
    <col min="11525" max="11525" width="36.6637168141593" style="2" customWidth="1"/>
    <col min="11526" max="11526" width="6.16814159292035" style="2" customWidth="1"/>
    <col min="11527" max="11770" width="10.1681415929204" style="2" customWidth="1"/>
    <col min="11771" max="11771" width="5.66371681415929" style="2" customWidth="1"/>
    <col min="11772" max="11772" width="7" style="2" customWidth="1"/>
    <col min="11773" max="11773" width="28.1681415929204" style="2" customWidth="1"/>
    <col min="11774" max="11774" width="42.1681415929204" style="2" customWidth="1"/>
    <col min="11775" max="11776" width="8.66371681415929" style="2" customWidth="1"/>
    <col min="11777" max="11777" width="15.1681415929204" style="2" customWidth="1"/>
    <col min="11778" max="11778" width="15" style="2" customWidth="1"/>
    <col min="11779" max="11779" width="12.6637168141593" style="2" customWidth="1"/>
    <col min="11780" max="11780" width="17.6637168141593" style="2" customWidth="1"/>
    <col min="11781" max="11781" width="36.6637168141593" style="2" customWidth="1"/>
    <col min="11782" max="11782" width="6.16814159292035" style="2" customWidth="1"/>
    <col min="11783" max="12026" width="10.1681415929204" style="2" customWidth="1"/>
    <col min="12027" max="12027" width="5.66371681415929" style="2" customWidth="1"/>
    <col min="12028" max="12028" width="7" style="2" customWidth="1"/>
    <col min="12029" max="12029" width="28.1681415929204" style="2" customWidth="1"/>
    <col min="12030" max="12030" width="42.1681415929204" style="2" customWidth="1"/>
    <col min="12031" max="12032" width="8.66371681415929" style="2" customWidth="1"/>
    <col min="12033" max="12033" width="15.1681415929204" style="2" customWidth="1"/>
    <col min="12034" max="12034" width="15" style="2" customWidth="1"/>
    <col min="12035" max="12035" width="12.6637168141593" style="2" customWidth="1"/>
    <col min="12036" max="12036" width="17.6637168141593" style="2" customWidth="1"/>
    <col min="12037" max="12037" width="36.6637168141593" style="2" customWidth="1"/>
    <col min="12038" max="12038" width="6.16814159292035" style="2" customWidth="1"/>
    <col min="12039" max="12282" width="10.1681415929204" style="2" customWidth="1"/>
    <col min="12283" max="12283" width="5.66371681415929" style="2" customWidth="1"/>
    <col min="12284" max="12284" width="7" style="2" customWidth="1"/>
    <col min="12285" max="12285" width="28.1681415929204" style="2" customWidth="1"/>
    <col min="12286" max="12286" width="42.1681415929204" style="2" customWidth="1"/>
    <col min="12287" max="12288" width="8.66371681415929" style="2" customWidth="1"/>
    <col min="12289" max="12289" width="15.1681415929204" style="2" customWidth="1"/>
    <col min="12290" max="12290" width="15" style="2" customWidth="1"/>
    <col min="12291" max="12291" width="12.6637168141593" style="2" customWidth="1"/>
    <col min="12292" max="12292" width="17.6637168141593" style="2" customWidth="1"/>
    <col min="12293" max="12293" width="36.6637168141593" style="2" customWidth="1"/>
    <col min="12294" max="12294" width="6.16814159292035" style="2" customWidth="1"/>
    <col min="12295" max="12538" width="10.1681415929204" style="2" customWidth="1"/>
    <col min="12539" max="12539" width="5.66371681415929" style="2" customWidth="1"/>
    <col min="12540" max="12540" width="7" style="2" customWidth="1"/>
    <col min="12541" max="12541" width="28.1681415929204" style="2" customWidth="1"/>
    <col min="12542" max="12542" width="42.1681415929204" style="2" customWidth="1"/>
    <col min="12543" max="12544" width="8.66371681415929" style="2" customWidth="1"/>
    <col min="12545" max="12545" width="15.1681415929204" style="2" customWidth="1"/>
    <col min="12546" max="12546" width="15" style="2" customWidth="1"/>
    <col min="12547" max="12547" width="12.6637168141593" style="2" customWidth="1"/>
    <col min="12548" max="12548" width="17.6637168141593" style="2" customWidth="1"/>
    <col min="12549" max="12549" width="36.6637168141593" style="2" customWidth="1"/>
    <col min="12550" max="12550" width="6.16814159292035" style="2" customWidth="1"/>
    <col min="12551" max="12794" width="10.1681415929204" style="2" customWidth="1"/>
    <col min="12795" max="12795" width="5.66371681415929" style="2" customWidth="1"/>
    <col min="12796" max="12796" width="7" style="2" customWidth="1"/>
    <col min="12797" max="12797" width="28.1681415929204" style="2" customWidth="1"/>
    <col min="12798" max="12798" width="42.1681415929204" style="2" customWidth="1"/>
    <col min="12799" max="12800" width="8.66371681415929" style="2" customWidth="1"/>
    <col min="12801" max="12801" width="15.1681415929204" style="2" customWidth="1"/>
    <col min="12802" max="12802" width="15" style="2" customWidth="1"/>
    <col min="12803" max="12803" width="12.6637168141593" style="2" customWidth="1"/>
    <col min="12804" max="12804" width="17.6637168141593" style="2" customWidth="1"/>
    <col min="12805" max="12805" width="36.6637168141593" style="2" customWidth="1"/>
    <col min="12806" max="12806" width="6.16814159292035" style="2" customWidth="1"/>
    <col min="12807" max="13050" width="10.1681415929204" style="2" customWidth="1"/>
    <col min="13051" max="13051" width="5.66371681415929" style="2" customWidth="1"/>
    <col min="13052" max="13052" width="7" style="2" customWidth="1"/>
    <col min="13053" max="13053" width="28.1681415929204" style="2" customWidth="1"/>
    <col min="13054" max="13054" width="42.1681415929204" style="2" customWidth="1"/>
    <col min="13055" max="13056" width="8.66371681415929" style="2" customWidth="1"/>
    <col min="13057" max="13057" width="15.1681415929204" style="2" customWidth="1"/>
    <col min="13058" max="13058" width="15" style="2" customWidth="1"/>
    <col min="13059" max="13059" width="12.6637168141593" style="2" customWidth="1"/>
    <col min="13060" max="13060" width="17.6637168141593" style="2" customWidth="1"/>
    <col min="13061" max="13061" width="36.6637168141593" style="2" customWidth="1"/>
    <col min="13062" max="13062" width="6.16814159292035" style="2" customWidth="1"/>
    <col min="13063" max="13306" width="10.1681415929204" style="2" customWidth="1"/>
    <col min="13307" max="13307" width="5.66371681415929" style="2" customWidth="1"/>
    <col min="13308" max="13308" width="7" style="2" customWidth="1"/>
    <col min="13309" max="13309" width="28.1681415929204" style="2" customWidth="1"/>
    <col min="13310" max="13310" width="42.1681415929204" style="2" customWidth="1"/>
    <col min="13311" max="13312" width="8.66371681415929" style="2" customWidth="1"/>
    <col min="13313" max="13313" width="15.1681415929204" style="2" customWidth="1"/>
    <col min="13314" max="13314" width="15" style="2" customWidth="1"/>
    <col min="13315" max="13315" width="12.6637168141593" style="2" customWidth="1"/>
    <col min="13316" max="13316" width="17.6637168141593" style="2" customWidth="1"/>
    <col min="13317" max="13317" width="36.6637168141593" style="2" customWidth="1"/>
    <col min="13318" max="13318" width="6.16814159292035" style="2" customWidth="1"/>
    <col min="13319" max="13562" width="10.1681415929204" style="2" customWidth="1"/>
    <col min="13563" max="13563" width="5.66371681415929" style="2" customWidth="1"/>
    <col min="13564" max="13564" width="7" style="2" customWidth="1"/>
    <col min="13565" max="13565" width="28.1681415929204" style="2" customWidth="1"/>
    <col min="13566" max="13566" width="42.1681415929204" style="2" customWidth="1"/>
    <col min="13567" max="13568" width="8.66371681415929" style="2" customWidth="1"/>
    <col min="13569" max="13569" width="15.1681415929204" style="2" customWidth="1"/>
    <col min="13570" max="13570" width="15" style="2" customWidth="1"/>
    <col min="13571" max="13571" width="12.6637168141593" style="2" customWidth="1"/>
    <col min="13572" max="13572" width="17.6637168141593" style="2" customWidth="1"/>
    <col min="13573" max="13573" width="36.6637168141593" style="2" customWidth="1"/>
    <col min="13574" max="13574" width="6.16814159292035" style="2" customWidth="1"/>
    <col min="13575" max="13818" width="10.1681415929204" style="2" customWidth="1"/>
    <col min="13819" max="13819" width="5.66371681415929" style="2" customWidth="1"/>
    <col min="13820" max="13820" width="7" style="2" customWidth="1"/>
    <col min="13821" max="13821" width="28.1681415929204" style="2" customWidth="1"/>
    <col min="13822" max="13822" width="42.1681415929204" style="2" customWidth="1"/>
    <col min="13823" max="13824" width="8.66371681415929" style="2" customWidth="1"/>
    <col min="13825" max="13825" width="15.1681415929204" style="2" customWidth="1"/>
    <col min="13826" max="13826" width="15" style="2" customWidth="1"/>
    <col min="13827" max="13827" width="12.6637168141593" style="2" customWidth="1"/>
    <col min="13828" max="13828" width="17.6637168141593" style="2" customWidth="1"/>
    <col min="13829" max="13829" width="36.6637168141593" style="2" customWidth="1"/>
    <col min="13830" max="13830" width="6.16814159292035" style="2" customWidth="1"/>
    <col min="13831" max="14074" width="10.1681415929204" style="2" customWidth="1"/>
    <col min="14075" max="14075" width="5.66371681415929" style="2" customWidth="1"/>
    <col min="14076" max="14076" width="7" style="2" customWidth="1"/>
    <col min="14077" max="14077" width="28.1681415929204" style="2" customWidth="1"/>
    <col min="14078" max="14078" width="42.1681415929204" style="2" customWidth="1"/>
    <col min="14079" max="14080" width="8.66371681415929" style="2" customWidth="1"/>
    <col min="14081" max="14081" width="15.1681415929204" style="2" customWidth="1"/>
    <col min="14082" max="14082" width="15" style="2" customWidth="1"/>
    <col min="14083" max="14083" width="12.6637168141593" style="2" customWidth="1"/>
    <col min="14084" max="14084" width="17.6637168141593" style="2" customWidth="1"/>
    <col min="14085" max="14085" width="36.6637168141593" style="2" customWidth="1"/>
    <col min="14086" max="14086" width="6.16814159292035" style="2" customWidth="1"/>
    <col min="14087" max="14330" width="10.1681415929204" style="2" customWidth="1"/>
    <col min="14331" max="14331" width="5.66371681415929" style="2" customWidth="1"/>
    <col min="14332" max="14332" width="7" style="2" customWidth="1"/>
    <col min="14333" max="14333" width="28.1681415929204" style="2" customWidth="1"/>
    <col min="14334" max="14334" width="42.1681415929204" style="2" customWidth="1"/>
    <col min="14335" max="14336" width="8.66371681415929" style="2" customWidth="1"/>
    <col min="14337" max="14337" width="15.1681415929204" style="2" customWidth="1"/>
    <col min="14338" max="14338" width="15" style="2" customWidth="1"/>
    <col min="14339" max="14339" width="12.6637168141593" style="2" customWidth="1"/>
    <col min="14340" max="14340" width="17.6637168141593" style="2" customWidth="1"/>
    <col min="14341" max="14341" width="36.6637168141593" style="2" customWidth="1"/>
    <col min="14342" max="14342" width="6.16814159292035" style="2" customWidth="1"/>
    <col min="14343" max="14586" width="10.1681415929204" style="2" customWidth="1"/>
    <col min="14587" max="14587" width="5.66371681415929" style="2" customWidth="1"/>
    <col min="14588" max="14588" width="7" style="2" customWidth="1"/>
    <col min="14589" max="14589" width="28.1681415929204" style="2" customWidth="1"/>
    <col min="14590" max="14590" width="42.1681415929204" style="2" customWidth="1"/>
    <col min="14591" max="14592" width="8.66371681415929" style="2" customWidth="1"/>
    <col min="14593" max="14593" width="15.1681415929204" style="2" customWidth="1"/>
    <col min="14594" max="14594" width="15" style="2" customWidth="1"/>
    <col min="14595" max="14595" width="12.6637168141593" style="2" customWidth="1"/>
    <col min="14596" max="14596" width="17.6637168141593" style="2" customWidth="1"/>
    <col min="14597" max="14597" width="36.6637168141593" style="2" customWidth="1"/>
    <col min="14598" max="14598" width="6.16814159292035" style="2" customWidth="1"/>
    <col min="14599" max="14842" width="10.1681415929204" style="2" customWidth="1"/>
    <col min="14843" max="14843" width="5.66371681415929" style="2" customWidth="1"/>
    <col min="14844" max="14844" width="7" style="2" customWidth="1"/>
    <col min="14845" max="14845" width="28.1681415929204" style="2" customWidth="1"/>
    <col min="14846" max="14846" width="42.1681415929204" style="2" customWidth="1"/>
    <col min="14847" max="14848" width="8.66371681415929" style="2" customWidth="1"/>
    <col min="14849" max="14849" width="15.1681415929204" style="2" customWidth="1"/>
    <col min="14850" max="14850" width="15" style="2" customWidth="1"/>
    <col min="14851" max="14851" width="12.6637168141593" style="2" customWidth="1"/>
    <col min="14852" max="14852" width="17.6637168141593" style="2" customWidth="1"/>
    <col min="14853" max="14853" width="36.6637168141593" style="2" customWidth="1"/>
    <col min="14854" max="14854" width="6.16814159292035" style="2" customWidth="1"/>
    <col min="14855" max="15098" width="10.1681415929204" style="2" customWidth="1"/>
    <col min="15099" max="15099" width="5.66371681415929" style="2" customWidth="1"/>
    <col min="15100" max="15100" width="7" style="2" customWidth="1"/>
    <col min="15101" max="15101" width="28.1681415929204" style="2" customWidth="1"/>
    <col min="15102" max="15102" width="42.1681415929204" style="2" customWidth="1"/>
    <col min="15103" max="15104" width="8.66371681415929" style="2" customWidth="1"/>
    <col min="15105" max="15105" width="15.1681415929204" style="2" customWidth="1"/>
    <col min="15106" max="15106" width="15" style="2" customWidth="1"/>
    <col min="15107" max="15107" width="12.6637168141593" style="2" customWidth="1"/>
    <col min="15108" max="15108" width="17.6637168141593" style="2" customWidth="1"/>
    <col min="15109" max="15109" width="36.6637168141593" style="2" customWidth="1"/>
    <col min="15110" max="15110" width="6.16814159292035" style="2" customWidth="1"/>
    <col min="15111" max="15354" width="10.1681415929204" style="2" customWidth="1"/>
    <col min="15355" max="15355" width="5.66371681415929" style="2" customWidth="1"/>
    <col min="15356" max="15356" width="7" style="2" customWidth="1"/>
    <col min="15357" max="15357" width="28.1681415929204" style="2" customWidth="1"/>
    <col min="15358" max="15358" width="42.1681415929204" style="2" customWidth="1"/>
    <col min="15359" max="15360" width="8.66371681415929" style="2" customWidth="1"/>
    <col min="15361" max="15361" width="15.1681415929204" style="2" customWidth="1"/>
    <col min="15362" max="15362" width="15" style="2" customWidth="1"/>
    <col min="15363" max="15363" width="12.6637168141593" style="2" customWidth="1"/>
    <col min="15364" max="15364" width="17.6637168141593" style="2" customWidth="1"/>
    <col min="15365" max="15365" width="36.6637168141593" style="2" customWidth="1"/>
    <col min="15366" max="15366" width="6.16814159292035" style="2" customWidth="1"/>
    <col min="15367" max="15610" width="10.1681415929204" style="2" customWidth="1"/>
    <col min="15611" max="15611" width="5.66371681415929" style="2" customWidth="1"/>
    <col min="15612" max="15612" width="7" style="2" customWidth="1"/>
    <col min="15613" max="15613" width="28.1681415929204" style="2" customWidth="1"/>
    <col min="15614" max="15614" width="42.1681415929204" style="2" customWidth="1"/>
    <col min="15615" max="15616" width="8.66371681415929" style="2" customWidth="1"/>
    <col min="15617" max="15617" width="15.1681415929204" style="2" customWidth="1"/>
    <col min="15618" max="15618" width="15" style="2" customWidth="1"/>
    <col min="15619" max="15619" width="12.6637168141593" style="2" customWidth="1"/>
    <col min="15620" max="15620" width="17.6637168141593" style="2" customWidth="1"/>
    <col min="15621" max="15621" width="36.6637168141593" style="2" customWidth="1"/>
    <col min="15622" max="15622" width="6.16814159292035" style="2" customWidth="1"/>
    <col min="15623" max="15866" width="10.1681415929204" style="2" customWidth="1"/>
    <col min="15867" max="15867" width="5.66371681415929" style="2" customWidth="1"/>
    <col min="15868" max="15868" width="7" style="2" customWidth="1"/>
    <col min="15869" max="15869" width="28.1681415929204" style="2" customWidth="1"/>
    <col min="15870" max="15870" width="42.1681415929204" style="2" customWidth="1"/>
    <col min="15871" max="15872" width="8.66371681415929" style="2" customWidth="1"/>
    <col min="15873" max="15873" width="15.1681415929204" style="2" customWidth="1"/>
    <col min="15874" max="15874" width="15" style="2" customWidth="1"/>
    <col min="15875" max="15875" width="12.6637168141593" style="2" customWidth="1"/>
    <col min="15876" max="15876" width="17.6637168141593" style="2" customWidth="1"/>
    <col min="15877" max="15877" width="36.6637168141593" style="2" customWidth="1"/>
    <col min="15878" max="15878" width="6.16814159292035" style="2" customWidth="1"/>
    <col min="15879" max="16122" width="10.1681415929204" style="2" customWidth="1"/>
    <col min="16123" max="16123" width="5.66371681415929" style="2" customWidth="1"/>
    <col min="16124" max="16124" width="7" style="2" customWidth="1"/>
    <col min="16125" max="16125" width="28.1681415929204" style="2" customWidth="1"/>
    <col min="16126" max="16126" width="42.1681415929204" style="2" customWidth="1"/>
    <col min="16127" max="16128" width="8.66371681415929" style="2" customWidth="1"/>
    <col min="16129" max="16129" width="15.1681415929204" style="2" customWidth="1"/>
    <col min="16130" max="16130" width="15" style="2" customWidth="1"/>
    <col min="16131" max="16131" width="12.6637168141593" style="2" customWidth="1"/>
    <col min="16132" max="16132" width="17.6637168141593" style="2" customWidth="1"/>
    <col min="16133" max="16133" width="36.6637168141593" style="2" customWidth="1"/>
    <col min="16134" max="16134" width="6.16814159292035" style="2" customWidth="1"/>
    <col min="16135" max="16384" width="10.1681415929204" style="2" customWidth="1"/>
  </cols>
  <sheetData>
    <row r="2" ht="14.6" spans="2:10">
      <c r="B2" s="4" t="s">
        <v>2814</v>
      </c>
      <c r="C2" s="5" t="s">
        <v>2815</v>
      </c>
      <c r="D2" s="5" t="s">
        <v>2739</v>
      </c>
      <c r="E2" s="6" t="s">
        <v>2816</v>
      </c>
      <c r="F2" s="6" t="s">
        <v>2817</v>
      </c>
      <c r="G2" s="6" t="s">
        <v>2818</v>
      </c>
      <c r="H2" s="7" t="s">
        <v>60</v>
      </c>
      <c r="I2" s="3"/>
      <c r="J2" s="3"/>
    </row>
    <row r="3" ht="24" customHeight="1" spans="2:10">
      <c r="B3" s="8" t="s">
        <v>2819</v>
      </c>
      <c r="C3" s="9"/>
      <c r="D3" s="9"/>
      <c r="E3" s="9"/>
      <c r="F3" s="9"/>
      <c r="G3" s="9"/>
      <c r="H3" s="10"/>
      <c r="I3" s="3"/>
      <c r="J3" s="3"/>
    </row>
    <row r="4" ht="16" customHeight="1" spans="2:10">
      <c r="B4" s="11">
        <v>1</v>
      </c>
      <c r="C4" s="12" t="s">
        <v>2820</v>
      </c>
      <c r="D4" s="13"/>
      <c r="E4" s="13"/>
      <c r="F4" s="13"/>
      <c r="G4" s="14"/>
      <c r="H4" s="15"/>
      <c r="I4" s="3"/>
      <c r="J4" s="3"/>
    </row>
    <row r="5" ht="70" customHeight="1" spans="2:10">
      <c r="B5" s="16" t="s">
        <v>2821</v>
      </c>
      <c r="C5" s="17" t="s">
        <v>2822</v>
      </c>
      <c r="D5" s="18" t="s">
        <v>2823</v>
      </c>
      <c r="E5" s="19">
        <v>1</v>
      </c>
      <c r="F5" s="19" t="s">
        <v>2824</v>
      </c>
      <c r="G5" s="19">
        <v>50000</v>
      </c>
      <c r="H5" s="20" t="s">
        <v>2825</v>
      </c>
      <c r="I5" s="3"/>
      <c r="J5" s="3"/>
    </row>
    <row r="6" spans="2:10">
      <c r="B6" s="16" t="s">
        <v>2826</v>
      </c>
      <c r="C6" s="17" t="s">
        <v>2827</v>
      </c>
      <c r="D6" s="18" t="s">
        <v>2828</v>
      </c>
      <c r="E6" s="19">
        <v>10</v>
      </c>
      <c r="F6" s="19" t="s">
        <v>2824</v>
      </c>
      <c r="G6" s="19">
        <v>750</v>
      </c>
      <c r="H6" s="20" t="s">
        <v>2829</v>
      </c>
      <c r="I6" s="3"/>
      <c r="J6" s="3"/>
    </row>
    <row r="7" spans="2:10">
      <c r="B7" s="16"/>
      <c r="C7" s="21" t="s">
        <v>2830</v>
      </c>
      <c r="D7" s="22"/>
      <c r="E7" s="22"/>
      <c r="F7" s="22"/>
      <c r="G7" s="23"/>
      <c r="H7" s="20"/>
      <c r="I7" s="3"/>
      <c r="J7" s="3"/>
    </row>
    <row r="8" ht="17" customHeight="1" spans="2:10">
      <c r="B8" s="24" t="s">
        <v>2826</v>
      </c>
      <c r="C8" s="25" t="s">
        <v>2831</v>
      </c>
      <c r="D8" s="22"/>
      <c r="E8" s="22"/>
      <c r="F8" s="22"/>
      <c r="G8" s="23"/>
      <c r="H8" s="26"/>
      <c r="I8" s="3"/>
      <c r="J8" s="3"/>
    </row>
    <row r="9" ht="42" customHeight="1" spans="2:10">
      <c r="B9" s="16" t="s">
        <v>2821</v>
      </c>
      <c r="C9" s="17" t="s">
        <v>2832</v>
      </c>
      <c r="D9" s="17" t="s">
        <v>2833</v>
      </c>
      <c r="E9" s="19">
        <v>0</v>
      </c>
      <c r="F9" s="19" t="s">
        <v>2824</v>
      </c>
      <c r="G9" s="19">
        <v>25000</v>
      </c>
      <c r="H9" s="20" t="s">
        <v>2834</v>
      </c>
      <c r="I9" s="3"/>
      <c r="J9" s="3"/>
    </row>
    <row r="10" ht="42" customHeight="1" spans="2:10">
      <c r="B10" s="16" t="s">
        <v>2826</v>
      </c>
      <c r="C10" s="17" t="s">
        <v>2835</v>
      </c>
      <c r="D10" s="17" t="s">
        <v>2836</v>
      </c>
      <c r="E10" s="19">
        <v>0</v>
      </c>
      <c r="F10" s="19" t="s">
        <v>2824</v>
      </c>
      <c r="G10" s="19">
        <v>30000</v>
      </c>
      <c r="H10" s="27"/>
      <c r="I10" s="3"/>
      <c r="J10" s="3"/>
    </row>
    <row r="11" spans="2:10">
      <c r="B11" s="16"/>
      <c r="C11" s="28" t="s">
        <v>2830</v>
      </c>
      <c r="D11" s="22"/>
      <c r="E11" s="22"/>
      <c r="F11" s="22"/>
      <c r="G11" s="23"/>
      <c r="H11" s="29"/>
      <c r="I11" s="3"/>
      <c r="J11" s="3"/>
    </row>
    <row r="12" ht="17" customHeight="1" spans="2:10">
      <c r="B12" s="24" t="s">
        <v>2837</v>
      </c>
      <c r="C12" s="25" t="s">
        <v>2838</v>
      </c>
      <c r="D12" s="22"/>
      <c r="E12" s="22"/>
      <c r="F12" s="22"/>
      <c r="G12" s="23"/>
      <c r="H12" s="26"/>
      <c r="I12" s="3"/>
      <c r="J12" s="3"/>
    </row>
    <row r="13" ht="28" customHeight="1" spans="2:10">
      <c r="B13" s="16" t="s">
        <v>2821</v>
      </c>
      <c r="C13" s="17" t="s">
        <v>2839</v>
      </c>
      <c r="D13" s="18" t="s">
        <v>2840</v>
      </c>
      <c r="E13" s="19">
        <v>1</v>
      </c>
      <c r="F13" s="19" t="s">
        <v>2824</v>
      </c>
      <c r="G13" s="19">
        <v>50000</v>
      </c>
      <c r="H13" s="20"/>
      <c r="I13" s="3"/>
      <c r="J13" s="3"/>
    </row>
    <row r="14" ht="28" customHeight="1" spans="2:10">
      <c r="B14" s="16" t="s">
        <v>2826</v>
      </c>
      <c r="C14" s="17" t="s">
        <v>2841</v>
      </c>
      <c r="D14" s="17" t="s">
        <v>2842</v>
      </c>
      <c r="E14" s="19">
        <v>0</v>
      </c>
      <c r="F14" s="19" t="s">
        <v>2843</v>
      </c>
      <c r="G14" s="19">
        <v>7500</v>
      </c>
      <c r="H14" s="30"/>
      <c r="I14" s="3"/>
      <c r="J14" s="3"/>
    </row>
    <row r="15" ht="28" customHeight="1" spans="2:10">
      <c r="B15" s="16" t="s">
        <v>2837</v>
      </c>
      <c r="C15" s="17" t="s">
        <v>2844</v>
      </c>
      <c r="D15" s="17" t="s">
        <v>2845</v>
      </c>
      <c r="E15" s="19">
        <v>1</v>
      </c>
      <c r="F15" s="19" t="s">
        <v>2843</v>
      </c>
      <c r="G15" s="19">
        <v>15000</v>
      </c>
      <c r="H15" s="30"/>
      <c r="I15" s="3"/>
      <c r="J15" s="3"/>
    </row>
    <row r="16" spans="2:10">
      <c r="B16" s="16"/>
      <c r="C16" s="28" t="s">
        <v>2830</v>
      </c>
      <c r="D16" s="22"/>
      <c r="E16" s="22"/>
      <c r="F16" s="22"/>
      <c r="G16" s="23"/>
      <c r="H16" s="29"/>
      <c r="J16" s="3"/>
    </row>
    <row r="17" ht="17" customHeight="1" spans="2:10">
      <c r="B17" s="24" t="s">
        <v>2846</v>
      </c>
      <c r="C17" s="25" t="s">
        <v>2847</v>
      </c>
      <c r="D17" s="22"/>
      <c r="E17" s="22"/>
      <c r="F17" s="22"/>
      <c r="G17" s="23"/>
      <c r="H17" s="26"/>
      <c r="I17" s="3"/>
      <c r="J17" s="3"/>
    </row>
    <row r="18" ht="42" customHeight="1" spans="2:10">
      <c r="B18" s="16" t="s">
        <v>2821</v>
      </c>
      <c r="C18" s="17" t="s">
        <v>2848</v>
      </c>
      <c r="D18" s="18" t="s">
        <v>2849</v>
      </c>
      <c r="E18" s="31">
        <v>0</v>
      </c>
      <c r="F18" s="31" t="s">
        <v>2850</v>
      </c>
      <c r="G18" s="31">
        <v>850</v>
      </c>
      <c r="H18" s="20" t="s">
        <v>2851</v>
      </c>
      <c r="I18" s="3"/>
      <c r="J18" s="3"/>
    </row>
    <row r="19" ht="64" customHeight="1" spans="2:10">
      <c r="B19" s="16" t="s">
        <v>2826</v>
      </c>
      <c r="C19" s="17" t="s">
        <v>2852</v>
      </c>
      <c r="D19" s="32" t="s">
        <v>2853</v>
      </c>
      <c r="E19" s="31">
        <v>100</v>
      </c>
      <c r="F19" s="31" t="s">
        <v>2850</v>
      </c>
      <c r="G19" s="31">
        <v>160</v>
      </c>
      <c r="H19" s="20" t="s">
        <v>2854</v>
      </c>
      <c r="I19" s="3"/>
      <c r="J19" s="3"/>
    </row>
    <row r="20" ht="64" customHeight="1" spans="2:10">
      <c r="B20" s="16" t="s">
        <v>2837</v>
      </c>
      <c r="C20" s="17" t="s">
        <v>2855</v>
      </c>
      <c r="D20" s="32" t="s">
        <v>2856</v>
      </c>
      <c r="E20" s="31">
        <v>0</v>
      </c>
      <c r="F20" s="31" t="s">
        <v>2850</v>
      </c>
      <c r="G20" s="31">
        <v>350</v>
      </c>
      <c r="H20" s="20" t="s">
        <v>2857</v>
      </c>
      <c r="I20" s="3"/>
      <c r="J20" s="3"/>
    </row>
    <row r="21" spans="2:10">
      <c r="B21" s="33"/>
      <c r="C21" s="34"/>
      <c r="D21" s="22"/>
      <c r="E21" s="22"/>
      <c r="F21" s="22"/>
      <c r="G21" s="22"/>
      <c r="H21" s="35"/>
      <c r="I21" s="3"/>
      <c r="J21" s="3"/>
    </row>
    <row r="22" ht="17" customHeight="1" spans="2:10">
      <c r="B22" s="24" t="s">
        <v>2858</v>
      </c>
      <c r="C22" s="25" t="s">
        <v>2859</v>
      </c>
      <c r="D22" s="22"/>
      <c r="E22" s="22"/>
      <c r="F22" s="22"/>
      <c r="G22" s="23"/>
      <c r="H22" s="26"/>
      <c r="I22" s="3"/>
      <c r="J22" s="3"/>
    </row>
    <row r="23" ht="48" customHeight="1" spans="2:10">
      <c r="B23" s="16" t="s">
        <v>2821</v>
      </c>
      <c r="C23" s="17" t="s">
        <v>2860</v>
      </c>
      <c r="D23" s="36" t="s">
        <v>2861</v>
      </c>
      <c r="E23" s="31">
        <v>0</v>
      </c>
      <c r="F23" s="31" t="s">
        <v>2850</v>
      </c>
      <c r="G23" s="31">
        <v>22000</v>
      </c>
      <c r="H23" s="20" t="s">
        <v>2862</v>
      </c>
      <c r="I23" s="3"/>
      <c r="J23" s="3"/>
    </row>
    <row r="24" spans="2:10">
      <c r="B24" s="33"/>
      <c r="C24" s="34"/>
      <c r="D24" s="22"/>
      <c r="E24" s="22"/>
      <c r="F24" s="22"/>
      <c r="G24" s="22"/>
      <c r="H24" s="35"/>
      <c r="I24" s="3"/>
      <c r="J24" s="3"/>
    </row>
    <row r="25" ht="17" customHeight="1" spans="2:10">
      <c r="B25" s="24" t="s">
        <v>2863</v>
      </c>
      <c r="C25" s="25" t="s">
        <v>2864</v>
      </c>
      <c r="D25" s="22"/>
      <c r="E25" s="22"/>
      <c r="F25" s="22"/>
      <c r="G25" s="23"/>
      <c r="H25" s="26"/>
      <c r="I25" s="3"/>
      <c r="J25" s="3"/>
    </row>
    <row r="26" spans="2:10">
      <c r="B26" s="37" t="s">
        <v>2821</v>
      </c>
      <c r="C26" s="38" t="s">
        <v>2865</v>
      </c>
      <c r="D26" s="39" t="s">
        <v>2866</v>
      </c>
      <c r="E26" s="40">
        <v>1</v>
      </c>
      <c r="F26" s="40" t="s">
        <v>2867</v>
      </c>
      <c r="G26" s="40">
        <v>7500</v>
      </c>
      <c r="H26" s="41"/>
    </row>
    <row r="27" spans="2:10">
      <c r="B27" s="37" t="s">
        <v>2826</v>
      </c>
      <c r="C27" s="38" t="s">
        <v>2868</v>
      </c>
      <c r="D27" s="39" t="s">
        <v>2869</v>
      </c>
      <c r="E27" s="40">
        <v>100</v>
      </c>
      <c r="F27" s="40" t="s">
        <v>2870</v>
      </c>
      <c r="G27" s="40">
        <v>15</v>
      </c>
      <c r="H27" s="41"/>
    </row>
    <row r="28" ht="28" customHeight="1" spans="2:10">
      <c r="B28" s="37" t="s">
        <v>2837</v>
      </c>
      <c r="C28" s="38" t="s">
        <v>2871</v>
      </c>
      <c r="D28" s="39" t="s">
        <v>2872</v>
      </c>
      <c r="E28" s="40">
        <v>10</v>
      </c>
      <c r="F28" s="40" t="s">
        <v>2873</v>
      </c>
      <c r="G28" s="40">
        <v>1500</v>
      </c>
      <c r="H28" s="41" t="s">
        <v>2874</v>
      </c>
    </row>
    <row r="29" ht="28" customHeight="1" spans="2:10">
      <c r="B29" s="37" t="s">
        <v>2846</v>
      </c>
      <c r="C29" s="38" t="s">
        <v>2875</v>
      </c>
      <c r="D29" s="39" t="s">
        <v>2876</v>
      </c>
      <c r="E29" s="40">
        <v>0</v>
      </c>
      <c r="F29" s="40" t="s">
        <v>2873</v>
      </c>
      <c r="G29" s="40">
        <v>800</v>
      </c>
      <c r="H29" s="41"/>
    </row>
    <row r="30" ht="28" customHeight="1" spans="2:10">
      <c r="B30" s="37" t="s">
        <v>2858</v>
      </c>
      <c r="C30" s="39" t="s">
        <v>2877</v>
      </c>
      <c r="D30" s="39" t="s">
        <v>2878</v>
      </c>
      <c r="E30" s="40">
        <v>5</v>
      </c>
      <c r="F30" s="42" t="s">
        <v>2879</v>
      </c>
      <c r="G30" s="40">
        <v>2000</v>
      </c>
      <c r="H30" s="43" t="s">
        <v>2880</v>
      </c>
    </row>
    <row r="31" ht="29" customHeight="1" spans="2:10">
      <c r="B31" s="37" t="s">
        <v>2863</v>
      </c>
      <c r="C31" s="39" t="s">
        <v>2881</v>
      </c>
      <c r="D31" s="39" t="s">
        <v>2882</v>
      </c>
      <c r="E31" s="40">
        <v>0</v>
      </c>
      <c r="F31" s="42" t="s">
        <v>2883</v>
      </c>
      <c r="G31" s="40">
        <v>3000</v>
      </c>
      <c r="H31" s="43" t="s">
        <v>2884</v>
      </c>
      <c r="I31" s="3"/>
      <c r="J31" s="3"/>
    </row>
    <row r="32" spans="2:10">
      <c r="B32" s="44"/>
      <c r="C32" s="45" t="s">
        <v>2885</v>
      </c>
      <c r="D32" s="22"/>
      <c r="E32" s="22"/>
      <c r="F32" s="22"/>
      <c r="G32" s="23"/>
      <c r="H32" s="29"/>
    </row>
    <row r="33" ht="16" customHeight="1" spans="2:8">
      <c r="B33" s="46"/>
      <c r="C33" s="47" t="s">
        <v>2886</v>
      </c>
      <c r="D33" s="48"/>
      <c r="E33" s="48"/>
      <c r="F33" s="48"/>
      <c r="G33" s="49"/>
      <c r="H33" s="50" t="s">
        <v>2887</v>
      </c>
    </row>
    <row r="34" ht="16" customHeight="1" spans="2:8">
      <c r="B34" s="46"/>
      <c r="C34" s="47" t="s">
        <v>2888</v>
      </c>
      <c r="D34" s="48"/>
      <c r="E34" s="48"/>
      <c r="F34" s="48"/>
      <c r="G34" s="49"/>
      <c r="H34" s="50"/>
    </row>
    <row r="36" spans="2:8">
      <c r="B36" s="4" t="s">
        <v>2814</v>
      </c>
      <c r="C36" s="5" t="s">
        <v>2815</v>
      </c>
      <c r="D36" s="5" t="s">
        <v>2739</v>
      </c>
      <c r="E36" s="6" t="s">
        <v>2816</v>
      </c>
      <c r="F36" s="6" t="s">
        <v>2817</v>
      </c>
      <c r="G36" s="6" t="s">
        <v>2818</v>
      </c>
      <c r="H36" s="7" t="s">
        <v>60</v>
      </c>
    </row>
    <row r="37" ht="23" customHeight="1" spans="2:8">
      <c r="B37" s="8" t="s">
        <v>2889</v>
      </c>
      <c r="C37" s="9"/>
      <c r="D37" s="9"/>
      <c r="E37" s="9"/>
      <c r="F37" s="9"/>
      <c r="G37" s="9"/>
      <c r="H37" s="10"/>
    </row>
    <row r="38" ht="16" customHeight="1" spans="2:8">
      <c r="B38" s="11">
        <v>1</v>
      </c>
      <c r="C38" s="12" t="s">
        <v>2820</v>
      </c>
      <c r="D38" s="13"/>
      <c r="E38" s="13"/>
      <c r="F38" s="13"/>
      <c r="G38" s="14"/>
      <c r="H38" s="15"/>
    </row>
    <row r="39" ht="70" customHeight="1" spans="2:8">
      <c r="B39" s="16" t="s">
        <v>2821</v>
      </c>
      <c r="C39" s="17" t="s">
        <v>2822</v>
      </c>
      <c r="D39" s="18" t="s">
        <v>2823</v>
      </c>
      <c r="E39" s="19">
        <v>1</v>
      </c>
      <c r="F39" s="19" t="s">
        <v>2824</v>
      </c>
      <c r="G39" s="19">
        <v>50000</v>
      </c>
      <c r="H39" s="20" t="s">
        <v>2825</v>
      </c>
    </row>
    <row r="40" ht="28" customHeight="1" spans="2:8">
      <c r="B40" s="16" t="s">
        <v>2826</v>
      </c>
      <c r="C40" s="17" t="s">
        <v>2890</v>
      </c>
      <c r="D40" s="18" t="s">
        <v>2891</v>
      </c>
      <c r="E40" s="19">
        <v>20</v>
      </c>
      <c r="F40" s="19" t="s">
        <v>2824</v>
      </c>
      <c r="G40" s="19">
        <v>3000</v>
      </c>
      <c r="H40" s="20" t="s">
        <v>2892</v>
      </c>
    </row>
    <row r="41" spans="2:8">
      <c r="B41" s="16"/>
      <c r="C41" s="21" t="s">
        <v>2830</v>
      </c>
      <c r="D41" s="22"/>
      <c r="E41" s="22"/>
      <c r="F41" s="22"/>
      <c r="G41" s="23"/>
      <c r="H41" s="20"/>
    </row>
    <row r="42" ht="17" customHeight="1" spans="2:8">
      <c r="B42" s="24" t="s">
        <v>2826</v>
      </c>
      <c r="C42" s="25" t="s">
        <v>2831</v>
      </c>
      <c r="D42" s="22"/>
      <c r="E42" s="22"/>
      <c r="F42" s="22"/>
      <c r="G42" s="23"/>
      <c r="H42" s="26"/>
    </row>
    <row r="43" ht="42" customHeight="1" spans="2:8">
      <c r="B43" s="16" t="s">
        <v>2821</v>
      </c>
      <c r="C43" s="17" t="s">
        <v>2832</v>
      </c>
      <c r="D43" s="17" t="s">
        <v>2833</v>
      </c>
      <c r="E43" s="19">
        <v>1</v>
      </c>
      <c r="F43" s="19" t="s">
        <v>2824</v>
      </c>
      <c r="G43" s="19">
        <v>25000</v>
      </c>
      <c r="H43" s="20" t="s">
        <v>2893</v>
      </c>
    </row>
    <row r="44" ht="84" customHeight="1" spans="2:8">
      <c r="B44" s="16" t="s">
        <v>2826</v>
      </c>
      <c r="C44" s="17" t="s">
        <v>2894</v>
      </c>
      <c r="D44" s="17" t="s">
        <v>2895</v>
      </c>
      <c r="E44" s="19">
        <v>1</v>
      </c>
      <c r="F44" s="19" t="s">
        <v>2824</v>
      </c>
      <c r="G44" s="19">
        <v>60000</v>
      </c>
      <c r="H44" s="20"/>
    </row>
    <row r="45" ht="28" customHeight="1" spans="2:8">
      <c r="B45" s="16" t="s">
        <v>2837</v>
      </c>
      <c r="C45" s="17" t="s">
        <v>2896</v>
      </c>
      <c r="D45" s="17" t="s">
        <v>2897</v>
      </c>
      <c r="E45" s="19">
        <v>1</v>
      </c>
      <c r="F45" s="19" t="s">
        <v>2843</v>
      </c>
      <c r="G45" s="19">
        <v>7500</v>
      </c>
      <c r="H45" s="20"/>
    </row>
    <row r="46" spans="2:8">
      <c r="B46" s="16"/>
      <c r="C46" s="28" t="s">
        <v>2830</v>
      </c>
      <c r="D46" s="22"/>
      <c r="E46" s="22"/>
      <c r="F46" s="22"/>
      <c r="G46" s="23"/>
      <c r="H46" s="29"/>
    </row>
    <row r="47" ht="17" customHeight="1" spans="2:8">
      <c r="B47" s="24" t="s">
        <v>2837</v>
      </c>
      <c r="C47" s="25" t="s">
        <v>2847</v>
      </c>
      <c r="D47" s="22"/>
      <c r="E47" s="22"/>
      <c r="F47" s="22"/>
      <c r="G47" s="23"/>
      <c r="H47" s="26"/>
    </row>
    <row r="48" ht="28" customHeight="1" spans="2:8">
      <c r="B48" s="16" t="s">
        <v>2821</v>
      </c>
      <c r="C48" s="17" t="s">
        <v>2898</v>
      </c>
      <c r="D48" s="18" t="s">
        <v>2899</v>
      </c>
      <c r="E48" s="31">
        <v>200</v>
      </c>
      <c r="F48" s="31" t="s">
        <v>2850</v>
      </c>
      <c r="G48" s="31">
        <v>725</v>
      </c>
      <c r="H48" s="20" t="s">
        <v>2900</v>
      </c>
    </row>
    <row r="49" ht="42" customHeight="1" spans="2:9">
      <c r="B49" s="51" t="s">
        <v>2826</v>
      </c>
      <c r="C49" s="52" t="s">
        <v>2901</v>
      </c>
      <c r="D49" s="53" t="s">
        <v>2902</v>
      </c>
      <c r="E49" s="54">
        <v>0</v>
      </c>
      <c r="F49" s="54" t="s">
        <v>2850</v>
      </c>
      <c r="G49" s="54">
        <v>150</v>
      </c>
      <c r="H49" s="55" t="s">
        <v>2903</v>
      </c>
      <c r="I49" s="56" t="s">
        <v>2904</v>
      </c>
    </row>
    <row r="50" ht="80" customHeight="1" spans="2:9">
      <c r="B50" s="51" t="s">
        <v>2837</v>
      </c>
      <c r="C50" s="52" t="s">
        <v>2905</v>
      </c>
      <c r="D50" s="57" t="s">
        <v>2906</v>
      </c>
      <c r="E50" s="54">
        <v>0</v>
      </c>
      <c r="F50" s="54" t="s">
        <v>2850</v>
      </c>
      <c r="G50" s="54">
        <v>450</v>
      </c>
      <c r="H50" s="55" t="s">
        <v>2907</v>
      </c>
      <c r="I50" s="58"/>
    </row>
    <row r="51" ht="48" customHeight="1" spans="2:9">
      <c r="B51" s="51" t="s">
        <v>2846</v>
      </c>
      <c r="C51" s="52" t="s">
        <v>2908</v>
      </c>
      <c r="D51" s="57" t="s">
        <v>2909</v>
      </c>
      <c r="E51" s="54">
        <v>0</v>
      </c>
      <c r="F51" s="54" t="s">
        <v>2850</v>
      </c>
      <c r="G51" s="54">
        <v>150</v>
      </c>
      <c r="H51" s="55" t="s">
        <v>2910</v>
      </c>
      <c r="I51" s="58"/>
    </row>
    <row r="52" ht="56" customHeight="1" spans="2:9">
      <c r="B52" s="51" t="s">
        <v>2858</v>
      </c>
      <c r="C52" s="52" t="s">
        <v>2911</v>
      </c>
      <c r="D52" s="52" t="s">
        <v>2912</v>
      </c>
      <c r="E52" s="54">
        <v>100</v>
      </c>
      <c r="F52" s="54" t="s">
        <v>2850</v>
      </c>
      <c r="G52" s="54">
        <v>600</v>
      </c>
      <c r="H52" s="55" t="s">
        <v>2913</v>
      </c>
      <c r="I52" s="59"/>
    </row>
    <row r="53" spans="2:9">
      <c r="B53" s="33"/>
      <c r="C53" s="34" t="s">
        <v>2830</v>
      </c>
      <c r="D53" s="22"/>
      <c r="E53" s="22"/>
      <c r="F53" s="22"/>
      <c r="G53" s="22"/>
      <c r="H53" s="35"/>
    </row>
    <row r="54" ht="17" customHeight="1" spans="2:9">
      <c r="B54" s="24" t="s">
        <v>2846</v>
      </c>
      <c r="C54" s="25" t="s">
        <v>2859</v>
      </c>
      <c r="D54" s="22"/>
      <c r="E54" s="22"/>
      <c r="F54" s="22"/>
      <c r="G54" s="23"/>
      <c r="H54" s="26"/>
    </row>
    <row r="55" ht="48" customHeight="1" spans="2:9">
      <c r="B55" s="16" t="s">
        <v>2821</v>
      </c>
      <c r="C55" s="17" t="s">
        <v>2860</v>
      </c>
      <c r="D55" s="36" t="s">
        <v>2861</v>
      </c>
      <c r="E55" s="31">
        <v>0</v>
      </c>
      <c r="F55" s="31" t="s">
        <v>2850</v>
      </c>
      <c r="G55" s="31">
        <v>22000</v>
      </c>
      <c r="H55" s="20" t="s">
        <v>2862</v>
      </c>
    </row>
    <row r="56" spans="2:9">
      <c r="B56" s="33"/>
      <c r="C56" s="34" t="s">
        <v>2830</v>
      </c>
      <c r="D56" s="22"/>
      <c r="E56" s="22"/>
      <c r="F56" s="22"/>
      <c r="G56" s="22"/>
      <c r="H56" s="35"/>
    </row>
    <row r="57" ht="17" customHeight="1" spans="2:9">
      <c r="B57" s="24" t="s">
        <v>2858</v>
      </c>
      <c r="C57" s="25" t="s">
        <v>2864</v>
      </c>
      <c r="D57" s="22"/>
      <c r="E57" s="22"/>
      <c r="F57" s="22"/>
      <c r="G57" s="23"/>
      <c r="H57" s="26"/>
    </row>
    <row r="58" spans="2:9">
      <c r="B58" s="37" t="s">
        <v>2821</v>
      </c>
      <c r="C58" s="38" t="s">
        <v>2865</v>
      </c>
      <c r="D58" s="39" t="s">
        <v>2866</v>
      </c>
      <c r="E58" s="40">
        <v>1</v>
      </c>
      <c r="F58" s="40" t="s">
        <v>2867</v>
      </c>
      <c r="G58" s="40">
        <v>7500</v>
      </c>
      <c r="H58" s="41"/>
    </row>
    <row r="59" ht="28" customHeight="1" spans="2:9">
      <c r="B59" s="37" t="s">
        <v>2826</v>
      </c>
      <c r="C59" s="38" t="s">
        <v>2871</v>
      </c>
      <c r="D59" s="39" t="s">
        <v>2872</v>
      </c>
      <c r="E59" s="40">
        <v>15</v>
      </c>
      <c r="F59" s="40" t="s">
        <v>2873</v>
      </c>
      <c r="G59" s="40">
        <v>1500</v>
      </c>
      <c r="H59" s="41" t="s">
        <v>2874</v>
      </c>
    </row>
    <row r="60" spans="2:9">
      <c r="B60" s="44"/>
      <c r="C60" s="45" t="s">
        <v>2885</v>
      </c>
      <c r="D60" s="22"/>
      <c r="E60" s="22"/>
      <c r="F60" s="22"/>
      <c r="G60" s="23"/>
      <c r="H60" s="29"/>
    </row>
    <row r="61" ht="16" customHeight="1" spans="2:9">
      <c r="B61" s="46"/>
      <c r="C61" s="47" t="s">
        <v>2886</v>
      </c>
      <c r="D61" s="48"/>
      <c r="E61" s="48"/>
      <c r="F61" s="48"/>
      <c r="G61" s="49"/>
      <c r="H61" s="50" t="s">
        <v>2887</v>
      </c>
    </row>
    <row r="62" ht="16" customHeight="1" spans="2:9">
      <c r="B62" s="46"/>
      <c r="C62" s="47" t="s">
        <v>2888</v>
      </c>
      <c r="D62" s="48"/>
      <c r="E62" s="48"/>
      <c r="F62" s="48"/>
      <c r="G62" s="49"/>
      <c r="H62" s="50"/>
    </row>
    <row r="64" spans="2:9">
      <c r="B64" s="4" t="s">
        <v>2814</v>
      </c>
      <c r="C64" s="5" t="s">
        <v>2815</v>
      </c>
      <c r="D64" s="5" t="s">
        <v>2739</v>
      </c>
      <c r="E64" s="6" t="s">
        <v>2816</v>
      </c>
      <c r="F64" s="6" t="s">
        <v>2817</v>
      </c>
      <c r="G64" s="6" t="s">
        <v>2818</v>
      </c>
      <c r="H64" s="7" t="s">
        <v>60</v>
      </c>
    </row>
    <row r="65" ht="23" customHeight="1" spans="2:9">
      <c r="B65" s="8" t="s">
        <v>2914</v>
      </c>
      <c r="C65" s="9"/>
      <c r="D65" s="9"/>
      <c r="E65" s="9"/>
      <c r="F65" s="9"/>
      <c r="G65" s="9"/>
      <c r="H65" s="10"/>
    </row>
    <row r="66" ht="16" customHeight="1" spans="2:9">
      <c r="B66" s="11">
        <v>1</v>
      </c>
      <c r="C66" s="12" t="s">
        <v>2820</v>
      </c>
      <c r="D66" s="13"/>
      <c r="E66" s="13"/>
      <c r="F66" s="13"/>
      <c r="G66" s="14"/>
      <c r="H66" s="15"/>
    </row>
    <row r="67" ht="70" customHeight="1" spans="2:9">
      <c r="B67" s="16" t="s">
        <v>2821</v>
      </c>
      <c r="C67" s="17" t="s">
        <v>2822</v>
      </c>
      <c r="D67" s="18" t="s">
        <v>2823</v>
      </c>
      <c r="E67" s="19">
        <v>1</v>
      </c>
      <c r="F67" s="19" t="s">
        <v>2824</v>
      </c>
      <c r="G67" s="19">
        <v>50000</v>
      </c>
      <c r="H67" s="20" t="s">
        <v>2825</v>
      </c>
    </row>
    <row r="68" spans="2:9">
      <c r="B68" s="16" t="s">
        <v>2826</v>
      </c>
      <c r="C68" s="17" t="s">
        <v>2827</v>
      </c>
      <c r="D68" s="18" t="s">
        <v>2828</v>
      </c>
      <c r="E68" s="19">
        <v>20</v>
      </c>
      <c r="F68" s="19" t="s">
        <v>2824</v>
      </c>
      <c r="G68" s="19">
        <v>750</v>
      </c>
      <c r="H68" s="20" t="s">
        <v>2829</v>
      </c>
    </row>
    <row r="69" spans="2:9">
      <c r="B69" s="16"/>
      <c r="C69" s="21" t="s">
        <v>2830</v>
      </c>
      <c r="D69" s="22"/>
      <c r="E69" s="22"/>
      <c r="F69" s="22"/>
      <c r="G69" s="23"/>
      <c r="H69" s="20"/>
    </row>
    <row r="70" ht="17" customHeight="1" spans="2:9">
      <c r="B70" s="24" t="s">
        <v>2826</v>
      </c>
      <c r="C70" s="25" t="s">
        <v>2831</v>
      </c>
      <c r="D70" s="22"/>
      <c r="E70" s="22"/>
      <c r="F70" s="22"/>
      <c r="G70" s="23"/>
      <c r="H70" s="26"/>
    </row>
    <row r="71" ht="42" customHeight="1" spans="2:9">
      <c r="B71" s="16" t="s">
        <v>2821</v>
      </c>
      <c r="C71" s="17" t="s">
        <v>2832</v>
      </c>
      <c r="D71" s="17" t="s">
        <v>2833</v>
      </c>
      <c r="E71" s="19">
        <v>1</v>
      </c>
      <c r="F71" s="19" t="s">
        <v>2824</v>
      </c>
      <c r="G71" s="19">
        <v>25000</v>
      </c>
      <c r="H71" s="20" t="s">
        <v>2893</v>
      </c>
    </row>
    <row r="72" ht="84" customHeight="1" spans="2:9">
      <c r="B72" s="16" t="s">
        <v>2826</v>
      </c>
      <c r="C72" s="17" t="s">
        <v>2894</v>
      </c>
      <c r="D72" s="17" t="s">
        <v>2895</v>
      </c>
      <c r="E72" s="19">
        <v>1</v>
      </c>
      <c r="F72" s="19" t="s">
        <v>2824</v>
      </c>
      <c r="G72" s="19">
        <v>60000</v>
      </c>
      <c r="H72" s="20"/>
    </row>
    <row r="73" ht="28" customHeight="1" spans="2:9">
      <c r="B73" s="16" t="s">
        <v>2837</v>
      </c>
      <c r="C73" s="17" t="s">
        <v>2896</v>
      </c>
      <c r="D73" s="17" t="s">
        <v>2897</v>
      </c>
      <c r="E73" s="19">
        <v>1</v>
      </c>
      <c r="F73" s="19" t="s">
        <v>2843</v>
      </c>
      <c r="G73" s="19">
        <v>7500</v>
      </c>
      <c r="H73" s="20"/>
    </row>
    <row r="74" spans="2:9">
      <c r="B74" s="16"/>
      <c r="C74" s="28" t="s">
        <v>2830</v>
      </c>
      <c r="D74" s="22"/>
      <c r="E74" s="22"/>
      <c r="F74" s="22"/>
      <c r="G74" s="23"/>
      <c r="H74" s="29"/>
    </row>
    <row r="75" ht="17" customHeight="1" spans="2:9">
      <c r="B75" s="24" t="s">
        <v>2837</v>
      </c>
      <c r="C75" s="25" t="s">
        <v>2847</v>
      </c>
      <c r="D75" s="22"/>
      <c r="E75" s="22"/>
      <c r="F75" s="22"/>
      <c r="G75" s="23"/>
      <c r="H75" s="26"/>
    </row>
    <row r="76" ht="42" customHeight="1" spans="2:9">
      <c r="B76" s="16" t="s">
        <v>2821</v>
      </c>
      <c r="C76" s="17" t="s">
        <v>2915</v>
      </c>
      <c r="D76" s="18" t="s">
        <v>2916</v>
      </c>
      <c r="E76" s="31">
        <v>20</v>
      </c>
      <c r="F76" s="31" t="s">
        <v>2850</v>
      </c>
      <c r="G76" s="31">
        <v>900</v>
      </c>
      <c r="H76" s="20" t="s">
        <v>2917</v>
      </c>
    </row>
    <row r="77" ht="80" customHeight="1" spans="2:9">
      <c r="B77" s="51" t="s">
        <v>2826</v>
      </c>
      <c r="C77" s="52" t="s">
        <v>2905</v>
      </c>
      <c r="D77" s="57" t="s">
        <v>2906</v>
      </c>
      <c r="E77" s="54">
        <v>100</v>
      </c>
      <c r="F77" s="54" t="s">
        <v>2850</v>
      </c>
      <c r="G77" s="54">
        <v>450</v>
      </c>
      <c r="H77" s="55" t="s">
        <v>2907</v>
      </c>
      <c r="I77" s="60" t="s">
        <v>2918</v>
      </c>
    </row>
    <row r="78" ht="64" customHeight="1" spans="2:9">
      <c r="B78" s="16" t="s">
        <v>2837</v>
      </c>
      <c r="C78" s="17" t="s">
        <v>2852</v>
      </c>
      <c r="D78" s="32" t="s">
        <v>2853</v>
      </c>
      <c r="E78" s="31">
        <v>200</v>
      </c>
      <c r="F78" s="31" t="s">
        <v>2850</v>
      </c>
      <c r="G78" s="31">
        <v>160</v>
      </c>
      <c r="H78" s="20" t="s">
        <v>2854</v>
      </c>
    </row>
    <row r="79" ht="64" customHeight="1" spans="2:9">
      <c r="B79" s="16" t="s">
        <v>2846</v>
      </c>
      <c r="C79" s="17" t="s">
        <v>2855</v>
      </c>
      <c r="D79" s="32" t="s">
        <v>2856</v>
      </c>
      <c r="E79" s="31">
        <v>0</v>
      </c>
      <c r="F79" s="31" t="s">
        <v>2850</v>
      </c>
      <c r="G79" s="31">
        <v>350</v>
      </c>
      <c r="H79" s="20" t="s">
        <v>2857</v>
      </c>
    </row>
    <row r="80" spans="2:9">
      <c r="B80" s="33"/>
      <c r="C80" s="34" t="s">
        <v>2830</v>
      </c>
      <c r="D80" s="22"/>
      <c r="E80" s="22"/>
      <c r="F80" s="22"/>
      <c r="G80" s="22"/>
      <c r="H80" s="35"/>
    </row>
    <row r="81" ht="17" customHeight="1" spans="2:8">
      <c r="B81" s="24" t="s">
        <v>2846</v>
      </c>
      <c r="C81" s="25" t="s">
        <v>2859</v>
      </c>
      <c r="D81" s="22"/>
      <c r="E81" s="22"/>
      <c r="F81" s="22"/>
      <c r="G81" s="23"/>
      <c r="H81" s="26"/>
    </row>
    <row r="82" ht="48" customHeight="1" spans="2:8">
      <c r="B82" s="16" t="s">
        <v>2821</v>
      </c>
      <c r="C82" s="17" t="s">
        <v>2860</v>
      </c>
      <c r="D82" s="36" t="s">
        <v>2861</v>
      </c>
      <c r="E82" s="31">
        <v>0</v>
      </c>
      <c r="F82" s="31" t="s">
        <v>2850</v>
      </c>
      <c r="G82" s="31">
        <v>22000</v>
      </c>
      <c r="H82" s="20" t="s">
        <v>2919</v>
      </c>
    </row>
    <row r="83" spans="2:8">
      <c r="B83" s="33"/>
      <c r="C83" s="34" t="s">
        <v>2830</v>
      </c>
      <c r="D83" s="22"/>
      <c r="E83" s="22"/>
      <c r="F83" s="22"/>
      <c r="G83" s="22"/>
      <c r="H83" s="35"/>
    </row>
    <row r="84" ht="17" customHeight="1" spans="2:8">
      <c r="B84" s="24" t="s">
        <v>2858</v>
      </c>
      <c r="C84" s="25" t="s">
        <v>2864</v>
      </c>
      <c r="D84" s="22"/>
      <c r="E84" s="22"/>
      <c r="F84" s="22"/>
      <c r="G84" s="23"/>
      <c r="H84" s="26"/>
    </row>
    <row r="85" spans="2:8">
      <c r="B85" s="37" t="s">
        <v>2821</v>
      </c>
      <c r="C85" s="38" t="s">
        <v>2865</v>
      </c>
      <c r="D85" s="39" t="s">
        <v>2866</v>
      </c>
      <c r="E85" s="40">
        <v>1</v>
      </c>
      <c r="F85" s="40" t="s">
        <v>2867</v>
      </c>
      <c r="G85" s="40">
        <v>7500</v>
      </c>
      <c r="H85" s="41"/>
    </row>
    <row r="86" spans="2:8">
      <c r="B86" s="37" t="s">
        <v>2826</v>
      </c>
      <c r="C86" s="38" t="s">
        <v>2868</v>
      </c>
      <c r="D86" s="39" t="s">
        <v>2869</v>
      </c>
      <c r="E86" s="40">
        <v>200</v>
      </c>
      <c r="F86" s="40" t="s">
        <v>2870</v>
      </c>
      <c r="G86" s="40">
        <v>15</v>
      </c>
      <c r="H86" s="41"/>
    </row>
    <row r="87" ht="28" customHeight="1" spans="2:8">
      <c r="B87" s="37" t="s">
        <v>2837</v>
      </c>
      <c r="C87" s="38" t="s">
        <v>2871</v>
      </c>
      <c r="D87" s="39" t="s">
        <v>2872</v>
      </c>
      <c r="E87" s="40">
        <v>15</v>
      </c>
      <c r="F87" s="40" t="s">
        <v>2873</v>
      </c>
      <c r="G87" s="40">
        <v>1500</v>
      </c>
      <c r="H87" s="41" t="s">
        <v>2874</v>
      </c>
    </row>
    <row r="88" spans="2:8">
      <c r="B88" s="44"/>
      <c r="C88" s="45" t="s">
        <v>2885</v>
      </c>
      <c r="D88" s="22"/>
      <c r="E88" s="22"/>
      <c r="F88" s="22"/>
      <c r="G88" s="23"/>
      <c r="H88" s="29"/>
    </row>
    <row r="89" ht="16" customHeight="1" spans="2:8">
      <c r="B89" s="46"/>
      <c r="C89" s="47" t="s">
        <v>2886</v>
      </c>
      <c r="D89" s="48"/>
      <c r="E89" s="48"/>
      <c r="F89" s="48"/>
      <c r="G89" s="49"/>
      <c r="H89" s="50" t="s">
        <v>2887</v>
      </c>
    </row>
    <row r="90" ht="16" customHeight="1" spans="2:8">
      <c r="B90" s="46"/>
      <c r="C90" s="47" t="s">
        <v>2888</v>
      </c>
      <c r="D90" s="48"/>
      <c r="E90" s="48"/>
      <c r="F90" s="48"/>
      <c r="G90" s="49"/>
      <c r="H90" s="50"/>
    </row>
    <row r="92" spans="2:8">
      <c r="B92" s="4" t="s">
        <v>2814</v>
      </c>
      <c r="C92" s="5" t="s">
        <v>2815</v>
      </c>
      <c r="D92" s="5" t="s">
        <v>2739</v>
      </c>
      <c r="E92" s="6" t="s">
        <v>2816</v>
      </c>
      <c r="F92" s="6" t="s">
        <v>2817</v>
      </c>
      <c r="G92" s="6" t="s">
        <v>2818</v>
      </c>
      <c r="H92" s="7" t="s">
        <v>60</v>
      </c>
    </row>
    <row r="93" ht="23" customHeight="1" spans="2:8">
      <c r="B93" s="8" t="s">
        <v>2920</v>
      </c>
      <c r="C93" s="9"/>
      <c r="D93" s="9"/>
      <c r="E93" s="9"/>
      <c r="F93" s="9"/>
      <c r="G93" s="9"/>
      <c r="H93" s="10"/>
    </row>
    <row r="94" ht="16" customHeight="1" spans="2:8">
      <c r="B94" s="11">
        <v>1</v>
      </c>
      <c r="C94" s="12" t="s">
        <v>2820</v>
      </c>
      <c r="D94" s="13"/>
      <c r="E94" s="13"/>
      <c r="F94" s="13"/>
      <c r="G94" s="14"/>
      <c r="H94" s="15"/>
    </row>
    <row r="95" ht="70" customHeight="1" spans="2:8">
      <c r="B95" s="16" t="s">
        <v>2821</v>
      </c>
      <c r="C95" s="17" t="s">
        <v>2822</v>
      </c>
      <c r="D95" s="18" t="s">
        <v>2823</v>
      </c>
      <c r="E95" s="19">
        <v>0</v>
      </c>
      <c r="F95" s="19" t="s">
        <v>2824</v>
      </c>
      <c r="G95" s="19">
        <v>50000</v>
      </c>
      <c r="H95" s="20" t="s">
        <v>2825</v>
      </c>
    </row>
    <row r="96" ht="28" customHeight="1" spans="2:8">
      <c r="B96" s="16" t="s">
        <v>2826</v>
      </c>
      <c r="C96" s="17" t="s">
        <v>2890</v>
      </c>
      <c r="D96" s="18" t="s">
        <v>2891</v>
      </c>
      <c r="E96" s="19">
        <v>0</v>
      </c>
      <c r="F96" s="19" t="s">
        <v>2824</v>
      </c>
      <c r="G96" s="19">
        <v>3000</v>
      </c>
      <c r="H96" s="20" t="s">
        <v>2892</v>
      </c>
    </row>
    <row r="97" spans="2:9">
      <c r="B97" s="16"/>
      <c r="C97" s="21" t="s">
        <v>2830</v>
      </c>
      <c r="D97" s="22"/>
      <c r="E97" s="22"/>
      <c r="F97" s="22"/>
      <c r="G97" s="23"/>
      <c r="H97" s="20"/>
    </row>
    <row r="98" ht="17" customHeight="1" spans="2:9">
      <c r="B98" s="24" t="s">
        <v>2826</v>
      </c>
      <c r="C98" s="25" t="s">
        <v>2831</v>
      </c>
      <c r="D98" s="22"/>
      <c r="E98" s="22"/>
      <c r="F98" s="22"/>
      <c r="G98" s="23"/>
      <c r="H98" s="26"/>
    </row>
    <row r="99" ht="42" customHeight="1" spans="2:9">
      <c r="B99" s="16" t="s">
        <v>2821</v>
      </c>
      <c r="C99" s="17" t="s">
        <v>2832</v>
      </c>
      <c r="D99" s="17" t="s">
        <v>2833</v>
      </c>
      <c r="E99" s="19">
        <v>0</v>
      </c>
      <c r="F99" s="19" t="s">
        <v>2824</v>
      </c>
      <c r="G99" s="19">
        <v>25000</v>
      </c>
      <c r="H99" s="20" t="s">
        <v>2893</v>
      </c>
    </row>
    <row r="100" ht="84" customHeight="1" spans="2:9">
      <c r="B100" s="16" t="s">
        <v>2826</v>
      </c>
      <c r="C100" s="17" t="s">
        <v>2894</v>
      </c>
      <c r="D100" s="17" t="s">
        <v>2895</v>
      </c>
      <c r="E100" s="19">
        <v>0</v>
      </c>
      <c r="F100" s="19" t="s">
        <v>2824</v>
      </c>
      <c r="G100" s="19">
        <v>60000</v>
      </c>
      <c r="H100" s="20"/>
    </row>
    <row r="101" ht="28" customHeight="1" spans="2:9">
      <c r="B101" s="16" t="s">
        <v>2837</v>
      </c>
      <c r="C101" s="17" t="s">
        <v>2896</v>
      </c>
      <c r="D101" s="17" t="s">
        <v>2897</v>
      </c>
      <c r="E101" s="19">
        <v>0</v>
      </c>
      <c r="F101" s="19" t="s">
        <v>2843</v>
      </c>
      <c r="G101" s="19">
        <v>7500</v>
      </c>
      <c r="H101" s="20"/>
    </row>
    <row r="102" spans="2:9">
      <c r="B102" s="16"/>
      <c r="C102" s="28" t="s">
        <v>2830</v>
      </c>
      <c r="D102" s="22"/>
      <c r="E102" s="22"/>
      <c r="F102" s="22"/>
      <c r="G102" s="23"/>
      <c r="H102" s="29"/>
    </row>
    <row r="103" ht="17" customHeight="1" spans="2:9">
      <c r="B103" s="24" t="s">
        <v>2837</v>
      </c>
      <c r="C103" s="25" t="s">
        <v>2847</v>
      </c>
      <c r="D103" s="22"/>
      <c r="E103" s="22"/>
      <c r="F103" s="22"/>
      <c r="G103" s="23"/>
      <c r="H103" s="26"/>
    </row>
    <row r="104" ht="42" customHeight="1" spans="2:9">
      <c r="B104" s="16" t="s">
        <v>2821</v>
      </c>
      <c r="C104" s="17" t="s">
        <v>2921</v>
      </c>
      <c r="D104" s="18" t="s">
        <v>2922</v>
      </c>
      <c r="E104" s="31">
        <v>0</v>
      </c>
      <c r="F104" s="31" t="s">
        <v>2850</v>
      </c>
      <c r="G104" s="31">
        <v>10000</v>
      </c>
      <c r="H104" s="20" t="s">
        <v>2923</v>
      </c>
    </row>
    <row r="105" ht="42" customHeight="1" spans="2:9">
      <c r="B105" s="51" t="s">
        <v>2826</v>
      </c>
      <c r="C105" s="52" t="s">
        <v>2924</v>
      </c>
      <c r="D105" s="52" t="s">
        <v>2925</v>
      </c>
      <c r="E105" s="54">
        <v>0</v>
      </c>
      <c r="F105" s="54" t="s">
        <v>2850</v>
      </c>
      <c r="G105" s="54">
        <v>950</v>
      </c>
      <c r="H105" s="55" t="s">
        <v>2926</v>
      </c>
      <c r="I105" s="60" t="s">
        <v>2918</v>
      </c>
    </row>
    <row r="106" ht="70" customHeight="1" spans="2:9">
      <c r="B106" s="51" t="s">
        <v>2837</v>
      </c>
      <c r="C106" s="52" t="s">
        <v>2927</v>
      </c>
      <c r="D106" s="52" t="s">
        <v>2928</v>
      </c>
      <c r="E106" s="54">
        <v>0</v>
      </c>
      <c r="F106" s="54" t="s">
        <v>2850</v>
      </c>
      <c r="G106" s="54">
        <v>1750</v>
      </c>
      <c r="H106" s="55" t="s">
        <v>2929</v>
      </c>
      <c r="I106" s="59"/>
    </row>
    <row r="107" spans="2:9">
      <c r="B107" s="33"/>
      <c r="C107" s="34" t="s">
        <v>2830</v>
      </c>
      <c r="D107" s="22"/>
      <c r="E107" s="22"/>
      <c r="F107" s="22"/>
      <c r="G107" s="22"/>
      <c r="H107" s="35"/>
    </row>
    <row r="108" ht="17" customHeight="1" spans="2:9">
      <c r="B108" s="24" t="s">
        <v>2846</v>
      </c>
      <c r="C108" s="25" t="s">
        <v>2859</v>
      </c>
      <c r="D108" s="22"/>
      <c r="E108" s="22"/>
      <c r="F108" s="22"/>
      <c r="G108" s="23"/>
      <c r="H108" s="26"/>
    </row>
    <row r="109" ht="48" customHeight="1" spans="2:9">
      <c r="B109" s="16" t="s">
        <v>2821</v>
      </c>
      <c r="C109" s="17" t="s">
        <v>2860</v>
      </c>
      <c r="D109" s="36" t="s">
        <v>2861</v>
      </c>
      <c r="E109" s="31">
        <v>0</v>
      </c>
      <c r="F109" s="31" t="s">
        <v>2850</v>
      </c>
      <c r="G109" s="31">
        <v>22000</v>
      </c>
      <c r="H109" s="20" t="s">
        <v>2862</v>
      </c>
    </row>
    <row r="110" spans="2:9">
      <c r="B110" s="33"/>
      <c r="C110" s="34" t="s">
        <v>2830</v>
      </c>
      <c r="D110" s="22"/>
      <c r="E110" s="22"/>
      <c r="F110" s="22"/>
      <c r="G110" s="22"/>
      <c r="H110" s="35"/>
    </row>
    <row r="111" ht="17" customHeight="1" spans="2:9">
      <c r="B111" s="24" t="s">
        <v>2858</v>
      </c>
      <c r="C111" s="25" t="s">
        <v>2864</v>
      </c>
      <c r="D111" s="22"/>
      <c r="E111" s="22"/>
      <c r="F111" s="22"/>
      <c r="G111" s="23"/>
      <c r="H111" s="26"/>
    </row>
    <row r="112" spans="2:9">
      <c r="B112" s="37" t="s">
        <v>2821</v>
      </c>
      <c r="C112" s="38" t="s">
        <v>2865</v>
      </c>
      <c r="D112" s="39" t="s">
        <v>2866</v>
      </c>
      <c r="E112" s="40">
        <v>0</v>
      </c>
      <c r="F112" s="40" t="s">
        <v>2867</v>
      </c>
      <c r="G112" s="40">
        <v>7500</v>
      </c>
      <c r="H112" s="41"/>
    </row>
    <row r="113" spans="2:8">
      <c r="B113" s="37" t="s">
        <v>2826</v>
      </c>
      <c r="C113" s="38" t="s">
        <v>2868</v>
      </c>
      <c r="D113" s="39" t="s">
        <v>2869</v>
      </c>
      <c r="E113" s="40">
        <v>0</v>
      </c>
      <c r="F113" s="40" t="s">
        <v>2870</v>
      </c>
      <c r="G113" s="40">
        <v>15</v>
      </c>
      <c r="H113" s="41"/>
    </row>
    <row r="114" ht="28" customHeight="1" spans="2:8">
      <c r="B114" s="37" t="s">
        <v>2837</v>
      </c>
      <c r="C114" s="38" t="s">
        <v>2871</v>
      </c>
      <c r="D114" s="39" t="s">
        <v>2872</v>
      </c>
      <c r="E114" s="40">
        <v>0</v>
      </c>
      <c r="F114" s="40" t="s">
        <v>2873</v>
      </c>
      <c r="G114" s="40">
        <v>1500</v>
      </c>
      <c r="H114" s="41" t="s">
        <v>2874</v>
      </c>
    </row>
    <row r="115" spans="2:8">
      <c r="B115" s="44"/>
      <c r="C115" s="45" t="s">
        <v>2885</v>
      </c>
      <c r="D115" s="22"/>
      <c r="E115" s="22"/>
      <c r="F115" s="22"/>
      <c r="G115" s="23"/>
      <c r="H115" s="29"/>
    </row>
    <row r="116" ht="16" customHeight="1" spans="2:8">
      <c r="B116" s="46"/>
      <c r="C116" s="47" t="s">
        <v>2886</v>
      </c>
      <c r="D116" s="48"/>
      <c r="E116" s="48"/>
      <c r="F116" s="48"/>
      <c r="G116" s="49"/>
      <c r="H116" s="50" t="s">
        <v>2887</v>
      </c>
    </row>
    <row r="117" ht="16" customHeight="1" spans="2:8">
      <c r="B117" s="46"/>
      <c r="C117" s="47" t="s">
        <v>2888</v>
      </c>
      <c r="D117" s="48"/>
      <c r="E117" s="48"/>
      <c r="F117" s="48"/>
      <c r="G117" s="49"/>
      <c r="H117" s="50"/>
    </row>
    <row r="119" spans="2:8">
      <c r="B119" s="4" t="s">
        <v>2814</v>
      </c>
      <c r="C119" s="5" t="s">
        <v>2815</v>
      </c>
      <c r="D119" s="5" t="s">
        <v>2739</v>
      </c>
      <c r="E119" s="6" t="s">
        <v>2816</v>
      </c>
      <c r="F119" s="6" t="s">
        <v>2817</v>
      </c>
      <c r="G119" s="6" t="s">
        <v>2818</v>
      </c>
      <c r="H119" s="7" t="s">
        <v>60</v>
      </c>
    </row>
    <row r="120" ht="23" customHeight="1" spans="2:8">
      <c r="B120" s="8" t="s">
        <v>2930</v>
      </c>
      <c r="C120" s="9"/>
      <c r="D120" s="9"/>
      <c r="E120" s="9"/>
      <c r="F120" s="9"/>
      <c r="G120" s="9"/>
      <c r="H120" s="10"/>
    </row>
    <row r="121" ht="16" customHeight="1" spans="2:8">
      <c r="B121" s="11">
        <v>1</v>
      </c>
      <c r="C121" s="12" t="s">
        <v>2820</v>
      </c>
      <c r="D121" s="13"/>
      <c r="E121" s="13"/>
      <c r="F121" s="13"/>
      <c r="G121" s="14"/>
      <c r="H121" s="15"/>
    </row>
    <row r="122" ht="70" customHeight="1" spans="2:8">
      <c r="B122" s="16" t="s">
        <v>2821</v>
      </c>
      <c r="C122" s="17" t="s">
        <v>2822</v>
      </c>
      <c r="D122" s="18" t="s">
        <v>2823</v>
      </c>
      <c r="E122" s="19">
        <v>1</v>
      </c>
      <c r="F122" s="19" t="s">
        <v>2824</v>
      </c>
      <c r="G122" s="19">
        <v>50000</v>
      </c>
      <c r="H122" s="20" t="s">
        <v>2825</v>
      </c>
    </row>
    <row r="123" spans="2:8">
      <c r="B123" s="16" t="s">
        <v>2837</v>
      </c>
      <c r="C123" s="17" t="s">
        <v>2827</v>
      </c>
      <c r="D123" s="18" t="s">
        <v>2828</v>
      </c>
      <c r="E123" s="19">
        <v>20</v>
      </c>
      <c r="F123" s="19" t="s">
        <v>2824</v>
      </c>
      <c r="G123" s="19">
        <v>750</v>
      </c>
      <c r="H123" s="20" t="s">
        <v>2829</v>
      </c>
    </row>
    <row r="124" spans="2:8">
      <c r="B124" s="16"/>
      <c r="C124" s="21" t="s">
        <v>2830</v>
      </c>
      <c r="D124" s="22"/>
      <c r="E124" s="22"/>
      <c r="F124" s="22"/>
      <c r="G124" s="23"/>
      <c r="H124" s="20"/>
    </row>
    <row r="125" ht="17" customHeight="1" spans="2:8">
      <c r="B125" s="24" t="s">
        <v>2826</v>
      </c>
      <c r="C125" s="25" t="s">
        <v>2831</v>
      </c>
      <c r="D125" s="22"/>
      <c r="E125" s="22"/>
      <c r="F125" s="22"/>
      <c r="G125" s="23"/>
      <c r="H125" s="26"/>
    </row>
    <row r="126" ht="42" customHeight="1" spans="2:8">
      <c r="B126" s="16" t="s">
        <v>2821</v>
      </c>
      <c r="C126" s="17" t="s">
        <v>2832</v>
      </c>
      <c r="D126" s="17" t="s">
        <v>2833</v>
      </c>
      <c r="E126" s="19">
        <v>1</v>
      </c>
      <c r="F126" s="19" t="s">
        <v>2824</v>
      </c>
      <c r="G126" s="19">
        <v>25000</v>
      </c>
      <c r="H126" s="20" t="s">
        <v>2893</v>
      </c>
    </row>
    <row r="127" ht="84" customHeight="1" spans="2:8">
      <c r="B127" s="16" t="s">
        <v>2826</v>
      </c>
      <c r="C127" s="17" t="s">
        <v>2894</v>
      </c>
      <c r="D127" s="17" t="s">
        <v>2895</v>
      </c>
      <c r="E127" s="19">
        <v>1</v>
      </c>
      <c r="F127" s="19" t="s">
        <v>2824</v>
      </c>
      <c r="G127" s="19">
        <v>60000</v>
      </c>
      <c r="H127" s="20"/>
    </row>
    <row r="128" ht="98" customHeight="1" spans="2:8">
      <c r="B128" s="16" t="s">
        <v>2837</v>
      </c>
      <c r="C128" s="17" t="s">
        <v>2931</v>
      </c>
      <c r="D128" s="18" t="s">
        <v>2932</v>
      </c>
      <c r="E128" s="19">
        <v>1</v>
      </c>
      <c r="F128" s="19" t="s">
        <v>2824</v>
      </c>
      <c r="G128" s="19">
        <v>60000</v>
      </c>
      <c r="H128" s="20"/>
    </row>
    <row r="129" ht="56" customHeight="1" spans="2:8">
      <c r="B129" s="16" t="s">
        <v>2846</v>
      </c>
      <c r="C129" s="17" t="s">
        <v>2933</v>
      </c>
      <c r="D129" s="17" t="s">
        <v>2934</v>
      </c>
      <c r="E129" s="19">
        <v>1</v>
      </c>
      <c r="F129" s="19" t="s">
        <v>2824</v>
      </c>
      <c r="G129" s="19">
        <v>50000</v>
      </c>
      <c r="H129" s="20"/>
    </row>
    <row r="130" spans="2:8">
      <c r="B130" s="16" t="s">
        <v>2858</v>
      </c>
      <c r="C130" s="17" t="s">
        <v>2935</v>
      </c>
      <c r="D130" s="17" t="s">
        <v>2936</v>
      </c>
      <c r="E130" s="19">
        <v>1</v>
      </c>
      <c r="F130" s="19" t="s">
        <v>2824</v>
      </c>
      <c r="G130" s="19">
        <v>60000</v>
      </c>
      <c r="H130" s="20"/>
    </row>
    <row r="131" ht="42" customHeight="1" spans="2:8">
      <c r="B131" s="16" t="s">
        <v>2863</v>
      </c>
      <c r="C131" s="17" t="s">
        <v>2835</v>
      </c>
      <c r="D131" s="17" t="s">
        <v>2836</v>
      </c>
      <c r="E131" s="19">
        <v>1</v>
      </c>
      <c r="F131" s="19" t="s">
        <v>2824</v>
      </c>
      <c r="G131" s="19">
        <v>30000</v>
      </c>
      <c r="H131" s="20"/>
    </row>
    <row r="132" ht="28" customHeight="1" spans="2:8">
      <c r="B132" s="16" t="s">
        <v>2937</v>
      </c>
      <c r="C132" s="17" t="s">
        <v>2896</v>
      </c>
      <c r="D132" s="17" t="s">
        <v>2897</v>
      </c>
      <c r="E132" s="19">
        <v>1</v>
      </c>
      <c r="F132" s="19" t="s">
        <v>2843</v>
      </c>
      <c r="G132" s="19">
        <v>7500</v>
      </c>
      <c r="H132" s="20"/>
    </row>
    <row r="133" spans="2:8">
      <c r="B133" s="16"/>
      <c r="C133" s="28" t="s">
        <v>2830</v>
      </c>
      <c r="D133" s="22"/>
      <c r="E133" s="22"/>
      <c r="F133" s="22"/>
      <c r="G133" s="23"/>
      <c r="H133" s="29"/>
    </row>
    <row r="134" ht="17" customHeight="1" spans="2:8">
      <c r="B134" s="24" t="s">
        <v>2846</v>
      </c>
      <c r="C134" s="25" t="s">
        <v>2847</v>
      </c>
      <c r="D134" s="22"/>
      <c r="E134" s="22"/>
      <c r="F134" s="22"/>
      <c r="G134" s="23"/>
      <c r="H134" s="26"/>
    </row>
    <row r="135" ht="42" customHeight="1" spans="2:8">
      <c r="B135" s="16" t="s">
        <v>2826</v>
      </c>
      <c r="C135" s="17" t="s">
        <v>2848</v>
      </c>
      <c r="D135" s="18" t="s">
        <v>2849</v>
      </c>
      <c r="E135" s="31">
        <v>10</v>
      </c>
      <c r="F135" s="31" t="s">
        <v>2850</v>
      </c>
      <c r="G135" s="31">
        <v>850</v>
      </c>
      <c r="H135" s="20" t="s">
        <v>2851</v>
      </c>
    </row>
    <row r="136" ht="80" customHeight="1" spans="2:8">
      <c r="B136" s="16" t="s">
        <v>2863</v>
      </c>
      <c r="C136" s="17" t="s">
        <v>2905</v>
      </c>
      <c r="D136" s="61" t="s">
        <v>2906</v>
      </c>
      <c r="E136" s="31">
        <v>0</v>
      </c>
      <c r="F136" s="31" t="s">
        <v>2850</v>
      </c>
      <c r="G136" s="31">
        <v>450</v>
      </c>
      <c r="H136" s="20" t="s">
        <v>2907</v>
      </c>
    </row>
    <row r="137" ht="64" customHeight="1" spans="2:8">
      <c r="B137" s="16" t="s">
        <v>2938</v>
      </c>
      <c r="C137" s="17" t="s">
        <v>2852</v>
      </c>
      <c r="D137" s="32" t="s">
        <v>2853</v>
      </c>
      <c r="E137" s="31">
        <v>200</v>
      </c>
      <c r="F137" s="31" t="s">
        <v>2850</v>
      </c>
      <c r="G137" s="31">
        <v>160</v>
      </c>
      <c r="H137" s="20" t="s">
        <v>2854</v>
      </c>
    </row>
    <row r="138" ht="64" customHeight="1" spans="2:8">
      <c r="B138" s="16" t="s">
        <v>2939</v>
      </c>
      <c r="C138" s="17" t="s">
        <v>2855</v>
      </c>
      <c r="D138" s="32" t="s">
        <v>2856</v>
      </c>
      <c r="E138" s="31">
        <v>0</v>
      </c>
      <c r="F138" s="31" t="s">
        <v>2850</v>
      </c>
      <c r="G138" s="31">
        <v>350</v>
      </c>
      <c r="H138" s="20" t="s">
        <v>2857</v>
      </c>
    </row>
    <row r="139" spans="2:8">
      <c r="B139" s="33"/>
      <c r="C139" s="34" t="s">
        <v>2830</v>
      </c>
      <c r="D139" s="22"/>
      <c r="E139" s="22"/>
      <c r="F139" s="22"/>
      <c r="G139" s="22"/>
      <c r="H139" s="35"/>
    </row>
    <row r="140" ht="17" customHeight="1" spans="2:8">
      <c r="B140" s="24" t="s">
        <v>2858</v>
      </c>
      <c r="C140" s="25" t="s">
        <v>2859</v>
      </c>
      <c r="D140" s="22"/>
      <c r="E140" s="22"/>
      <c r="F140" s="22"/>
      <c r="G140" s="23"/>
      <c r="H140" s="26"/>
    </row>
    <row r="141" ht="48" customHeight="1" spans="2:8">
      <c r="B141" s="16" t="s">
        <v>2821</v>
      </c>
      <c r="C141" s="17" t="s">
        <v>2860</v>
      </c>
      <c r="D141" s="36" t="s">
        <v>2861</v>
      </c>
      <c r="E141" s="31">
        <v>0</v>
      </c>
      <c r="F141" s="31" t="s">
        <v>2850</v>
      </c>
      <c r="G141" s="31">
        <v>22000</v>
      </c>
      <c r="H141" s="20" t="s">
        <v>2862</v>
      </c>
    </row>
    <row r="142" spans="2:8">
      <c r="B142" s="33"/>
      <c r="C142" s="34" t="s">
        <v>2830</v>
      </c>
      <c r="D142" s="22"/>
      <c r="E142" s="22"/>
      <c r="F142" s="22"/>
      <c r="G142" s="22"/>
      <c r="H142" s="35"/>
    </row>
    <row r="143" ht="23" customHeight="1" spans="2:8">
      <c r="B143" s="8" t="s">
        <v>2940</v>
      </c>
      <c r="C143" s="9"/>
      <c r="D143" s="9"/>
      <c r="E143" s="9"/>
      <c r="F143" s="9"/>
      <c r="G143" s="9"/>
      <c r="H143" s="10"/>
    </row>
    <row r="144" ht="17" customHeight="1" spans="2:8">
      <c r="B144" s="24" t="s">
        <v>2863</v>
      </c>
      <c r="C144" s="25" t="s">
        <v>2864</v>
      </c>
      <c r="D144" s="22"/>
      <c r="E144" s="22"/>
      <c r="F144" s="22"/>
      <c r="G144" s="23"/>
      <c r="H144" s="26"/>
    </row>
    <row r="145" spans="1:8">
      <c r="B145" s="37" t="s">
        <v>2821</v>
      </c>
      <c r="C145" s="38" t="s">
        <v>2865</v>
      </c>
      <c r="D145" s="39" t="s">
        <v>2866</v>
      </c>
      <c r="E145" s="40">
        <v>1</v>
      </c>
      <c r="F145" s="40" t="s">
        <v>2867</v>
      </c>
      <c r="G145" s="40">
        <v>7500</v>
      </c>
      <c r="H145" s="41"/>
    </row>
    <row r="146" spans="1:8">
      <c r="B146" s="37" t="s">
        <v>2826</v>
      </c>
      <c r="C146" s="38" t="s">
        <v>2868</v>
      </c>
      <c r="D146" s="39" t="s">
        <v>2869</v>
      </c>
      <c r="E146" s="40">
        <v>200</v>
      </c>
      <c r="F146" s="40" t="s">
        <v>2870</v>
      </c>
      <c r="G146" s="40">
        <v>15</v>
      </c>
      <c r="H146" s="41"/>
    </row>
    <row r="147" ht="28" customHeight="1" spans="1:8">
      <c r="B147" s="37" t="s">
        <v>2837</v>
      </c>
      <c r="C147" s="38" t="s">
        <v>2871</v>
      </c>
      <c r="D147" s="39" t="s">
        <v>2872</v>
      </c>
      <c r="E147" s="40">
        <v>10</v>
      </c>
      <c r="F147" s="40" t="s">
        <v>2873</v>
      </c>
      <c r="G147" s="40">
        <v>1500</v>
      </c>
      <c r="H147" s="41" t="s">
        <v>2874</v>
      </c>
    </row>
    <row r="148" spans="1:8">
      <c r="B148" s="44"/>
      <c r="C148" s="45" t="s">
        <v>2885</v>
      </c>
      <c r="D148" s="22"/>
      <c r="E148" s="22"/>
      <c r="F148" s="22"/>
      <c r="G148" s="23"/>
      <c r="H148" s="29"/>
    </row>
    <row r="149" ht="16" customHeight="1" spans="1:8">
      <c r="B149" s="46"/>
      <c r="C149" s="47" t="s">
        <v>2886</v>
      </c>
      <c r="D149" s="48"/>
      <c r="E149" s="48"/>
      <c r="F149" s="48"/>
      <c r="G149" s="49"/>
      <c r="H149" s="50" t="s">
        <v>2887</v>
      </c>
    </row>
    <row r="150" ht="16" customHeight="1" spans="1:8">
      <c r="B150" s="46"/>
      <c r="C150" s="47" t="s">
        <v>2888</v>
      </c>
      <c r="D150" s="48"/>
      <c r="E150" s="48"/>
      <c r="F150" s="48"/>
      <c r="G150" s="49"/>
      <c r="H150" s="50"/>
    </row>
    <row r="152" s="1" customFormat="1" spans="1:8">
      <c r="A152" s="62" t="s">
        <v>2941</v>
      </c>
    </row>
    <row r="153" s="1" customFormat="1" spans="1:8">
      <c r="A153" s="62" t="s">
        <v>2942</v>
      </c>
      <c r="B153" s="62" t="s">
        <v>2941</v>
      </c>
    </row>
    <row r="154" s="1" customFormat="1" spans="1:8">
      <c r="A154" s="62" t="s">
        <v>2943</v>
      </c>
      <c r="B154" s="62" t="s">
        <v>2942</v>
      </c>
    </row>
    <row r="155" s="1" customFormat="1" spans="1:8">
      <c r="A155" s="62" t="s">
        <v>2944</v>
      </c>
      <c r="B155" s="62" t="s">
        <v>2943</v>
      </c>
    </row>
    <row r="156" s="1" customFormat="1" spans="1:8">
      <c r="A156" s="62" t="s">
        <v>2945</v>
      </c>
      <c r="B156" s="62" t="s">
        <v>2944</v>
      </c>
    </row>
    <row r="157" spans="1:8">
      <c r="B157" s="62" t="s">
        <v>2945</v>
      </c>
    </row>
  </sheetData>
  <mergeCells count="71">
    <mergeCell ref="B3:G3"/>
    <mergeCell ref="C4:G4"/>
    <mergeCell ref="C7:G7"/>
    <mergeCell ref="C8:G8"/>
    <mergeCell ref="C11:G11"/>
    <mergeCell ref="C12:G12"/>
    <mergeCell ref="C16:G16"/>
    <mergeCell ref="C17:G17"/>
    <mergeCell ref="C21:G21"/>
    <mergeCell ref="C22:G22"/>
    <mergeCell ref="C24:G24"/>
    <mergeCell ref="C25:G25"/>
    <mergeCell ref="C32:G32"/>
    <mergeCell ref="C33:G33"/>
    <mergeCell ref="C34:G34"/>
    <mergeCell ref="B37:G37"/>
    <mergeCell ref="C38:G38"/>
    <mergeCell ref="C41:G41"/>
    <mergeCell ref="C42:G42"/>
    <mergeCell ref="C46:G46"/>
    <mergeCell ref="C47:G47"/>
    <mergeCell ref="C53:G53"/>
    <mergeCell ref="C54:G54"/>
    <mergeCell ref="C56:G56"/>
    <mergeCell ref="C57:G57"/>
    <mergeCell ref="C60:G60"/>
    <mergeCell ref="C61:G61"/>
    <mergeCell ref="C62:G62"/>
    <mergeCell ref="B65:G65"/>
    <mergeCell ref="C66:G66"/>
    <mergeCell ref="C69:G69"/>
    <mergeCell ref="C70:G70"/>
    <mergeCell ref="C74:G74"/>
    <mergeCell ref="C75:G75"/>
    <mergeCell ref="C80:G80"/>
    <mergeCell ref="C81:G81"/>
    <mergeCell ref="C83:G83"/>
    <mergeCell ref="C84:G84"/>
    <mergeCell ref="C88:G88"/>
    <mergeCell ref="C89:G89"/>
    <mergeCell ref="C90:G90"/>
    <mergeCell ref="B93:G93"/>
    <mergeCell ref="C94:G94"/>
    <mergeCell ref="C97:G97"/>
    <mergeCell ref="C98:G98"/>
    <mergeCell ref="C102:G102"/>
    <mergeCell ref="C103:G103"/>
    <mergeCell ref="C107:G107"/>
    <mergeCell ref="C108:G108"/>
    <mergeCell ref="C110:G110"/>
    <mergeCell ref="C111:G111"/>
    <mergeCell ref="C115:G115"/>
    <mergeCell ref="C116:G116"/>
    <mergeCell ref="C117:G117"/>
    <mergeCell ref="B120:G120"/>
    <mergeCell ref="C121:G121"/>
    <mergeCell ref="C124:G124"/>
    <mergeCell ref="C125:G125"/>
    <mergeCell ref="C133:G133"/>
    <mergeCell ref="C134:G134"/>
    <mergeCell ref="C139:G139"/>
    <mergeCell ref="C140:G140"/>
    <mergeCell ref="C142:G142"/>
    <mergeCell ref="B143:G143"/>
    <mergeCell ref="C144:G144"/>
    <mergeCell ref="C148:G148"/>
    <mergeCell ref="C149:G149"/>
    <mergeCell ref="C150:G150"/>
    <mergeCell ref="H9:H10"/>
    <mergeCell ref="I49:I52"/>
    <mergeCell ref="I105:I10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Summary</vt:lpstr>
      <vt:lpstr>OmniSwitch 9900</vt:lpstr>
      <vt:lpstr>OmniSwitch 9500</vt:lpstr>
      <vt:lpstr>OS9500 POL</vt:lpstr>
      <vt:lpstr>OmniSwitch 6920</vt:lpstr>
      <vt:lpstr>OmniSwitch 6900</vt:lpstr>
      <vt:lpstr>OmniSwitch 6870 </vt:lpstr>
      <vt:lpstr>OmniSwitch 6865</vt:lpstr>
      <vt:lpstr>OmniSwitch 6860</vt:lpstr>
      <vt:lpstr>OmniSwitch 6575</vt:lpstr>
      <vt:lpstr>OmniSwitch 6570</vt:lpstr>
      <vt:lpstr>OmniSwitch 6560</vt:lpstr>
      <vt:lpstr>OmniSwitch 6465</vt:lpstr>
      <vt:lpstr>OmniSwitch 6450</vt:lpstr>
      <vt:lpstr>OS6360</vt:lpstr>
      <vt:lpstr>OmniSwitch 6350</vt:lpstr>
      <vt:lpstr>OmniSwitch 6250</vt:lpstr>
      <vt:lpstr>OS2260 OS2360</vt:lpstr>
      <vt:lpstr>OmniSwitch 2220</vt:lpstr>
      <vt:lpstr>国产化OS2960 OS2560 OS2160</vt:lpstr>
      <vt:lpstr>Transceivers</vt:lpstr>
      <vt:lpstr>OmniAccess Stellar WLAN</vt:lpstr>
      <vt:lpstr>OmniAccess WLAN</vt:lpstr>
      <vt:lpstr>OmniAccess ESR</vt:lpstr>
      <vt:lpstr>OmniVista 2500 NMS</vt:lpstr>
      <vt:lpstr>OmniVista 3600</vt:lpstr>
      <vt:lpstr>Service and Support</vt:lpstr>
      <vt:lpstr>Accessories</vt:lpstr>
      <vt:lpstr>LBS场景化报价模型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mcostley</dc:creator>
  <cp:lastModifiedBy>alan</cp:lastModifiedBy>
  <dcterms:created xsi:type="dcterms:W3CDTF">2007-01-10T22:16:00Z</dcterms:created>
  <cp:lastPrinted>2014-07-28T17:09:00Z</cp:lastPrinted>
  <dcterms:modified xsi:type="dcterms:W3CDTF">2026-04-16T08:28:37Z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0x010100E86A1D3805FD6746AEDB446EE7531798</vt:lpwstr>
  </property>
  <property fmtid="{D5CDD505-2E9C-101B-9397-08002B2CF9AE}" pid="4" name="KSOProductBuildVer">
    <vt:lpwstr>2052-12.1.0.25865</vt:lpwstr>
  </property>
  <property fmtid="{D5CDD505-2E9C-101B-9397-08002B2CF9AE}" pid="5" name="ICV">
    <vt:lpwstr>3D336754752A42278F3918E149CF0449_13</vt:lpwstr>
  </property>
  <property fmtid="{D5CDD505-2E9C-101B-9397-08002B2CF9AE}" pid="6" name="KSOReadingLayout">
    <vt:bool>false</vt:bool>
  </property>
  <property fmtid="{D5CDD505-2E9C-101B-9397-08002B2CF9AE}" pid="7" name="CalculationRule">
    <vt:i4>0</vt:i4>
  </property>
</Properties>
</file>