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aleinternational-my.sharepoint.com/personal/allen_xu_al-enterprise_com/Documents/Allen/2024 ALE/2024 Sales Tools kit/"/>
    </mc:Choice>
  </mc:AlternateContent>
  <xr:revisionPtr revIDLastSave="33" documentId="13_ncr:1_{B3C7F59E-AF0C-47C7-BE13-995DC24E8112}" xr6:coauthVersionLast="47" xr6:coauthVersionMax="47" xr10:uidLastSave="{BBCDD213-1396-427E-88EF-BFA4EB0DC77C}"/>
  <bookViews>
    <workbookView xWindow="-120" yWindow="-120" windowWidth="29040" windowHeight="15720" firstSheet="2" activeTab="2" xr2:uid="{00000000-000D-0000-FFFF-FFFF00000000}"/>
  </bookViews>
  <sheets>
    <sheet name="说明" sheetId="6" r:id="rId1"/>
    <sheet name="OmniAccess Stellar" sheetId="2" r:id="rId2"/>
    <sheet name="OmniSwitch" sheetId="1" r:id="rId3"/>
    <sheet name="OmniSwitch (2960 2560 2160)" sheetId="8" r:id="rId4"/>
    <sheet name="OmniSwitch (工业)" sheetId="7" r:id="rId5"/>
    <sheet name="OmniAccess ESR" sheetId="3" r:id="rId6"/>
    <sheet name="OmniAccess Vista2500"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 l="1"/>
  <c r="A4" i="2"/>
  <c r="A5" i="2"/>
  <c r="A6" i="2"/>
  <c r="A7" i="2"/>
  <c r="A8" i="2"/>
  <c r="A9" i="2"/>
  <c r="A10" i="2"/>
  <c r="A11" i="2"/>
  <c r="A12" i="2"/>
  <c r="A13" i="2"/>
  <c r="A14" i="2"/>
  <c r="A15" i="2"/>
  <c r="A16" i="2"/>
  <c r="A17" i="2"/>
  <c r="A18" i="2"/>
  <c r="A19" i="2"/>
  <c r="A20" i="2"/>
  <c r="A21" i="2"/>
  <c r="A22" i="2"/>
  <c r="A23" i="2"/>
  <c r="A24" i="2"/>
  <c r="A2" i="2"/>
</calcChain>
</file>

<file path=xl/sharedStrings.xml><?xml version="1.0" encoding="utf-8"?>
<sst xmlns="http://schemas.openxmlformats.org/spreadsheetml/2006/main" count="205" uniqueCount="182">
  <si>
    <t>OAW-AP1301L-RW</t>
    <phoneticPr fontId="1" type="noConversion"/>
  </si>
  <si>
    <t>OAW-AP1301-RW</t>
    <phoneticPr fontId="1" type="noConversion"/>
  </si>
  <si>
    <t>OAW-AP1301H-RW</t>
    <phoneticPr fontId="1" type="noConversion"/>
  </si>
  <si>
    <t>OAW-AP1311-RW</t>
    <phoneticPr fontId="1" type="noConversion"/>
  </si>
  <si>
    <t>OAW-AP1321-RW</t>
    <phoneticPr fontId="1" type="noConversion"/>
  </si>
  <si>
    <t>OAW-AP1322-RW</t>
    <phoneticPr fontId="1" type="noConversion"/>
  </si>
  <si>
    <t>OAW-AP1331-RW</t>
    <phoneticPr fontId="1" type="noConversion"/>
  </si>
  <si>
    <t>OAW-AP1361-RW</t>
    <phoneticPr fontId="1" type="noConversion"/>
  </si>
  <si>
    <t>OAW-AP1361D-RW</t>
    <phoneticPr fontId="1" type="noConversion"/>
  </si>
  <si>
    <t>OAW-AP1351-RW</t>
    <phoneticPr fontId="1" type="noConversion"/>
  </si>
  <si>
    <t>OAW-AP1411-RW</t>
    <phoneticPr fontId="1" type="noConversion"/>
  </si>
  <si>
    <t>OAW-AP1431-RW</t>
    <phoneticPr fontId="1" type="noConversion"/>
  </si>
  <si>
    <t>OAW-AP1451-RW</t>
    <phoneticPr fontId="1" type="noConversion"/>
  </si>
  <si>
    <t>OAW-AP1201L-RW</t>
    <phoneticPr fontId="1" type="noConversion"/>
  </si>
  <si>
    <t>OAW-AP1201HL-RW</t>
    <phoneticPr fontId="1" type="noConversion"/>
  </si>
  <si>
    <t>OAW-AP1231-RW</t>
    <phoneticPr fontId="1" type="noConversion"/>
  </si>
  <si>
    <t>OAW-AP1232-RW</t>
    <phoneticPr fontId="1" type="noConversion"/>
  </si>
  <si>
    <t>OAW-AP1362-RW</t>
    <phoneticPr fontId="1" type="noConversion"/>
  </si>
  <si>
    <t>OA-ESR5600-F10</t>
    <phoneticPr fontId="1" type="noConversion"/>
  </si>
  <si>
    <t>OA-ESR5600-F30</t>
    <phoneticPr fontId="1" type="noConversion"/>
  </si>
  <si>
    <t>OA-ESR5600-F40</t>
    <phoneticPr fontId="1" type="noConversion"/>
  </si>
  <si>
    <t>OA-ESR5600-F5</t>
    <phoneticPr fontId="1" type="noConversion"/>
  </si>
  <si>
    <t>OS9912</t>
    <phoneticPr fontId="1" type="noConversion"/>
  </si>
  <si>
    <t>OS9907</t>
    <phoneticPr fontId="1" type="noConversion"/>
  </si>
  <si>
    <t>OS9506</t>
    <phoneticPr fontId="1" type="noConversion"/>
  </si>
  <si>
    <t>OS9503</t>
    <phoneticPr fontId="1" type="noConversion"/>
  </si>
  <si>
    <t>OS6900-X48C6</t>
    <phoneticPr fontId="1" type="noConversion"/>
  </si>
  <si>
    <t>OS6900-X24C2</t>
    <phoneticPr fontId="1" type="noConversion"/>
  </si>
  <si>
    <t>OS6900-T48C6</t>
    <phoneticPr fontId="1" type="noConversion"/>
  </si>
  <si>
    <t>OS6900-T24C2</t>
    <phoneticPr fontId="1" type="noConversion"/>
  </si>
  <si>
    <t>OS6900-V48C8</t>
    <phoneticPr fontId="1" type="noConversion"/>
  </si>
  <si>
    <t>OS6900-C32E</t>
    <phoneticPr fontId="1" type="noConversion"/>
  </si>
  <si>
    <t>OS6860N-U28</t>
    <phoneticPr fontId="1" type="noConversion"/>
  </si>
  <si>
    <t>OS6860E-24</t>
    <phoneticPr fontId="1" type="noConversion"/>
  </si>
  <si>
    <t>OS6570M-U28</t>
    <phoneticPr fontId="1" type="noConversion"/>
  </si>
  <si>
    <t>OS6560-24X4</t>
    <phoneticPr fontId="1" type="noConversion"/>
  </si>
  <si>
    <t>OS6560-P24X4</t>
    <phoneticPr fontId="1" type="noConversion"/>
  </si>
  <si>
    <t>OS6560-X10</t>
    <phoneticPr fontId="1" type="noConversion"/>
  </si>
  <si>
    <t>OS2360-24</t>
    <phoneticPr fontId="1" type="noConversion"/>
  </si>
  <si>
    <t>OS2360-48</t>
    <phoneticPr fontId="1" type="noConversion"/>
  </si>
  <si>
    <t>OS2360-U24X</t>
    <phoneticPr fontId="1" type="noConversion"/>
  </si>
  <si>
    <t>OS2360-U48X</t>
    <phoneticPr fontId="1" type="noConversion"/>
  </si>
  <si>
    <t>OS2360-P24M</t>
    <phoneticPr fontId="1" type="noConversion"/>
  </si>
  <si>
    <t>OS2260-10</t>
    <phoneticPr fontId="1" type="noConversion"/>
  </si>
  <si>
    <t>OS2260-P10</t>
    <phoneticPr fontId="1" type="noConversion"/>
  </si>
  <si>
    <t>OS2260-24</t>
    <phoneticPr fontId="1" type="noConversion"/>
  </si>
  <si>
    <t>OS2260-48</t>
    <phoneticPr fontId="1" type="noConversion"/>
  </si>
  <si>
    <t>OS2360-P24</t>
    <phoneticPr fontId="1" type="noConversion"/>
  </si>
  <si>
    <t>OS2360-P48</t>
    <phoneticPr fontId="1" type="noConversion"/>
  </si>
  <si>
    <t>OS2360-P24X</t>
    <phoneticPr fontId="1" type="noConversion"/>
  </si>
  <si>
    <t>OS2360-P48X</t>
    <phoneticPr fontId="1" type="noConversion"/>
  </si>
  <si>
    <t>OS2260-P24X</t>
    <phoneticPr fontId="1" type="noConversion"/>
  </si>
  <si>
    <t>OS2260-P48X</t>
    <phoneticPr fontId="1" type="noConversion"/>
  </si>
  <si>
    <t>v1.0</t>
    <phoneticPr fontId="1" type="noConversion"/>
  </si>
  <si>
    <t>v1.1</t>
    <phoneticPr fontId="1" type="noConversion"/>
  </si>
  <si>
    <t>Allen</t>
    <phoneticPr fontId="1" type="noConversion"/>
  </si>
  <si>
    <t>V1.2</t>
    <phoneticPr fontId="1" type="noConversion"/>
  </si>
  <si>
    <t>OS6865-U28X</t>
    <phoneticPr fontId="1" type="noConversion"/>
  </si>
  <si>
    <t>OS6465-P6-CN</t>
    <phoneticPr fontId="1" type="noConversion"/>
  </si>
  <si>
    <r>
      <rPr>
        <sz val="10"/>
        <color theme="1"/>
        <rFont val="黑体"/>
        <family val="3"/>
        <charset val="134"/>
      </rPr>
      <t>序号</t>
    </r>
    <phoneticPr fontId="1" type="noConversion"/>
  </si>
  <si>
    <r>
      <rPr>
        <sz val="10"/>
        <color theme="1"/>
        <rFont val="黑体"/>
        <family val="3"/>
        <charset val="134"/>
      </rPr>
      <t>型号</t>
    </r>
    <phoneticPr fontId="1" type="noConversion"/>
  </si>
  <si>
    <r>
      <rPr>
        <sz val="10"/>
        <color theme="1"/>
        <rFont val="黑体"/>
        <family val="3"/>
        <charset val="134"/>
      </rPr>
      <t>简要参数</t>
    </r>
    <phoneticPr fontId="1" type="noConversion"/>
  </si>
  <si>
    <t>V1.3</t>
    <phoneticPr fontId="1" type="noConversion"/>
  </si>
  <si>
    <t>OS6560-P28-CN</t>
    <phoneticPr fontId="1" type="noConversion"/>
  </si>
  <si>
    <t>OAW-AP1301W-RW</t>
    <phoneticPr fontId="1" type="noConversion"/>
  </si>
  <si>
    <t>OS2960-X48C8</t>
    <phoneticPr fontId="1" type="noConversion"/>
  </si>
  <si>
    <t>OS2960-X24C2</t>
    <phoneticPr fontId="1" type="noConversion"/>
  </si>
  <si>
    <t>OS2560-24</t>
    <phoneticPr fontId="1" type="noConversion"/>
  </si>
  <si>
    <t>OS2560-48</t>
    <phoneticPr fontId="1" type="noConversion"/>
  </si>
  <si>
    <t>OS2560-P24V</t>
    <phoneticPr fontId="1" type="noConversion"/>
  </si>
  <si>
    <t>OS2560-P48V</t>
    <phoneticPr fontId="1" type="noConversion"/>
  </si>
  <si>
    <t>OS2560-U48X</t>
    <phoneticPr fontId="1" type="noConversion"/>
  </si>
  <si>
    <t>OS2160-8</t>
    <phoneticPr fontId="1" type="noConversion"/>
  </si>
  <si>
    <t>OS2160-P8</t>
    <phoneticPr fontId="1" type="noConversion"/>
  </si>
  <si>
    <t>OS2160-P24</t>
    <phoneticPr fontId="1" type="noConversion"/>
  </si>
  <si>
    <t>交换容量≥2.5Tbps，包转发率≥200Mpps(官网彩页若标注为 A/B值，以A/B值中小值为准)；现配1G SFP光纤接口≥20；1G电接口≥4个，该接口支持POE+（不低于75Watts)；10G SFP+万兆光口≥4个；QSFP+接口≥2个；支持并实际配置1+1冗余电源；最大支持≥8台虚拟机箱技术；IP30级防护，工作温度范围：-40°C to 74°C；支持IEEE 802.1aq ，SPB标准协议；支持sflow流量统计分析协议，ITU-T G.8032环网协议，支持SLB服务器负载均衡，支持三层路由(RIP、OSPF、ISIS、BGP等)、支持组播路由协议（PIM-SM、PIM-DM、PIM-SSM、DVMRP等）；支持工业级Industrial Environmental标准，IEC 60068-2-1, IEC 60068-2-2, IEC 60255-21-2, IEC 60255-21-1, IEC-60870-2-2 (Temp)等。</t>
    <phoneticPr fontId="1" type="noConversion"/>
  </si>
  <si>
    <t>交换容量≥250Gbps(官网彩页若标注为 A/B值，以A/B值中小值为准)；现配1G SFP光纤接口≥2，1G电接口≥4个，支持802.at和高功率POE（不低于60Watts)技术，IP30级防护，工作温度范围：-40°C to 75°C；支持sflow流量统计分析协议、ITU-T G.8032环网协议、支持三层路由、支持802.1AE，MACsec协议；支持冗余电源；</t>
    <phoneticPr fontId="1" type="noConversion"/>
  </si>
  <si>
    <t>交换容量≥500Gbps(官网彩页若标注为 A/B值，以A/B值中小值为准)；现配1G电接口≥22个(其中8个支持 高功率HP POE+，不低于60Watts)，1G SFP光纤接口≥2，1/10G SFP+光纤接口1G SFP光纤接口≥4个；支持冗余电源；支持不少于4台虚拟机箱；IP30级防护，工作温度范围：-40°C to 75°C；支持sflow流量统计分析协议、ITU-T G.8032环网协议、支持三层路由、支持802.1AE MACsec协议，支持冗余操作系统及配置回退；</t>
    <phoneticPr fontId="1" type="noConversion"/>
  </si>
  <si>
    <t>版本</t>
    <phoneticPr fontId="1" type="noConversion"/>
  </si>
  <si>
    <t>修订说明</t>
    <phoneticPr fontId="1" type="noConversion"/>
  </si>
  <si>
    <t>作者</t>
    <phoneticPr fontId="1" type="noConversion"/>
  </si>
  <si>
    <t>日期</t>
    <phoneticPr fontId="1" type="noConversion"/>
  </si>
  <si>
    <t>第一版常用型号参数</t>
    <phoneticPr fontId="1" type="noConversion"/>
  </si>
  <si>
    <t>修订2x60系列，性能参数有A/B值，以小值为准</t>
    <phoneticPr fontId="1" type="noConversion"/>
  </si>
  <si>
    <t>增加工业交换机6465-P6和6865-U28X参数</t>
    <phoneticPr fontId="1" type="noConversion"/>
  </si>
  <si>
    <t>序号</t>
    <phoneticPr fontId="1" type="noConversion"/>
  </si>
  <si>
    <t>型号</t>
    <phoneticPr fontId="1" type="noConversion"/>
  </si>
  <si>
    <t>简要参数</t>
    <phoneticPr fontId="1" type="noConversion"/>
  </si>
  <si>
    <t>备注</t>
    <phoneticPr fontId="1" type="noConversion"/>
  </si>
  <si>
    <t>分布式线速交换架构，独立主控、交业务槽位物理分离；整机槽位数≥6个；最大可热插拔交流电源≥3个，支持AC+DC电源模块混插；交换容量≥160Tbps，包转发率≥8500Mpps(官网彩页若标注为 A/B值，以A/B值中小值为准)；支持N:1虚拟化并实配许可；支持千兆GE/SFP/SFP+板卡；支持40G光口板卡；支持GPON板卡；支持IEEE 802.1aq SPB或者TRILL协议；支持RFC 3176 Sflow或者RFC 3954 Netflow流量采样协议；支持ITU-T G.8032/Y.1344或者RFC 3619 EAPS以太环网保护协议；本次实际独立主控≥X块，模块化电源模块≥X块；千兆GE电接口≥X个；千兆SFP光接口≥X个，万兆SFP+光口≥X个，10G虚拟化线缆≥X条；</t>
    <phoneticPr fontId="1" type="noConversion"/>
  </si>
  <si>
    <t>分布式线速交换架构；整机槽位数≥3个；最大可热插拔交流电源≥3个，支持AC+DC电源模块混插；交换容量≥80Tbps，包转发率≥4300Mpps(官网彩页若标注为 A/B值，以A/B值中小值为准)；支持N:1虚拟化并实配许可；支持千兆GE/SFP/SFP+板卡；支持40G光口板卡；支持GPON板卡；支持IEEE 802.1aq SPB或者TRILL协议；支持RFC 3176 Sflow或者RFC 3954 Netflow流量采样协议；支持ITU-T G.8032/Y.1344或者RFC 3619 EAPS以太环网保护协议；本次实配主控≥X块，模块化电源模块≥X块；千兆GE电接口≥X个；千兆SFP光接口≥X个，万兆SFP+光口≥X个，10G虚拟化线缆≥X条；</t>
    <phoneticPr fontId="1" type="noConversion"/>
  </si>
  <si>
    <t>内置全向天线、放装型，支持802.11ax标准，整机双频四空间流，最大并发数据传输速率≥2.95Gbps；1个GE上行接口，1个48V直流电源接口，1个Console口；AP内置AC，最大可管理250台AP；支持非法AP定位和控制、支持白名单/黑名单、负载均衡、零接触配置 (ZTP)、频段转向（5G优先）；支持无线IDS和IPS，支持非法AP检测/抑制，黑名单/白名单区分功能；支持NAT，支持DHCP SERVER，支持负载均衡，内置支持 BLE IoT模块，支持802.11k/v/r协议，内置portal认证，支持内建账号，支持ACC高级蜂窝共存。</t>
    <phoneticPr fontId="1" type="noConversion"/>
  </si>
  <si>
    <t>内置全向天线、放装型，支持802.11ax标准，整机双频四空间流，最大并发数据传输速率≥1.75Gbps；2个GE上行接口(支持LACP链路聚合)，1个48V直流电源接口，1个Console口；1个USB接口（支持BLE/Zigbee IoT模块）；AP内置AC，最大可管理250台AP；支持非法AP定位和控制、支持白名单/黑名单、负载均衡、零接触配置 (ZTP)、频段转向（5G优先）；支持无线IDS和IPS，支持非法AP检测/抑制，黑名单/白名单区分功能；支持NAT，支持DHCP SERVER，支持负载均衡，内置DPI应用识别，支持802.11k/v/r协议，内置portal认证，支持内建账号，支持ACC高级蜂窝共存。</t>
    <phoneticPr fontId="1" type="noConversion"/>
  </si>
  <si>
    <t>内置全向天线、放装型，支持802.11ax标准，整机双频四空间流，最大并发数据传输速率≥1.75Gbps；1个上行GE接口，4个GE下行接口（支持VLAN划分），其中含 1个口支持802.3af标准的以太网供电 (PoE-PSE) ，1对无源直通口，1个48V直流电源接口；1个USB接口；AP内置AC，最大可管理250台AP；支持非法AP定位和控制、支持白名单/黑名单、负载均衡、零接触配置 (ZTP)、频段转向（5G优先）；支持无线IDS和IPS，支持非法AP检测/抑制，黑名单/白名单区分功能；支持NAT，支持DHCP SERVER，支持负载均衡，内置支持 BLE/Zigbee IoT模块，内置DPI应用识别，支持802.11k/v/r协议，内置portal认证，支持内建账号，支持ACC高级蜂窝共存。</t>
    <phoneticPr fontId="1" type="noConversion"/>
  </si>
  <si>
    <t>内置全向天线、放装型，支持802.11ax标准，整机双频四空间流，最大并发数据传输速率≥1.75Gbps；2个GE上行接口(支持LACP链路聚合)，1个GE下行接口，1个48V直流电源接口，1个RS-232 控制台 /Modbus IIoT，1个USB接口，1个独立扫描射频（用作空口射频扫描无线优化）；AP内置AC，最大可管理250台AP；支持非法AP定位和控制、支持白名单/黑名单、负载均衡、零接触配置 (ZTP)、频段转向（5G优先）；支持无线IDS和IPS，支持非法AP检测/抑制，黑名单/白名单区分功能；支持NAT，支持DHCP SERVER，支持负载均衡，内置支持BLE/Zigbee IoT模块，内置DPI应用识别，支持802.11k/v/r协议，内置portal认证，支持内建账号，支持ACC高级蜂窝共存。</t>
    <phoneticPr fontId="1" type="noConversion"/>
  </si>
  <si>
    <t>内置全向天线或者外置天线、放装型，支持802.11ax标准，整机双频六空间流，最大并发数据传输速率≥2.95Gbps；1个2.5G接口和1个GE接口（支持LACP），1个48V直流电源接口，1个Console口，1个USB接口，1个独立扫描射频（用作空口射频扫描无线优化）；AP内置AC，最大可管理250台AP；支持非法AP定位和控制、支持白名单/黑名单、负载均衡、零接触配置 (ZTP)、频段转向（5G优先）；支持无线IDS和IPS，支持非法AP检测/抑制，黑名单/白名单区分功能；支持NAT，支持DHCP SERVER，支持负载均衡， 内置 BLE/Zigbee IoT模块，内置DPI应用识别，支持802.11k/v/r协议，内置portal认证，支持内建账号，支持ACC高级蜂窝共存。</t>
    <phoneticPr fontId="1" type="noConversion"/>
  </si>
  <si>
    <t>外置天线、放装型，支持802.11ax标准，整机双频六空间流，最大并发数据传输速率≥2.95Gbps；1个2.5G接口和1个GE接口（支持LACP），1个48V直流电源接口，1个Console口，1个USB接口，1个独立扫描射频（用作空口射频扫描无线优化）；AP内置AC，最大可管理250台AP；支持非法AP定位和控制、支持白名单/黑名单、负载均衡、零接触配置 (ZTP)、频段转向（5G优先）；支持无线IDS和IPS，支持非法AP检测/抑制，黑名单/白名单区分功能；支持NAT，支持DHCP SERVER，支持负载均衡， 内置 BLE/Zigbee IoT模块，内置DPI应用识别，支持802.11k/v/r协议，内置portal认证，支持内建账号，支持ACC高级蜂窝共存。</t>
    <phoneticPr fontId="1" type="noConversion"/>
  </si>
  <si>
    <t>内置全向天线、放装型，支持802.11ax标准，整机双频八空间流，最大并发数据传输速率≥3.5Gbps；2个5G接口（支持LACP），1个48V直流电源接口，1个 RS-232控制台，1个USB接口，1个独立扫描射频（用作空口射频扫描无线优化）；AP内置AC，最大可管理250台AP；支持非法AP定位和控制、支持白名单/黑名单、负载均衡、零接触配置 (ZTP)、频段转向（5G优先）；支持无线IDS和IPS，支持非法AP检测/抑制，黑名单/白名单区分功能；支持NAT，支持DHCP SERVER，支持负载均衡， 内置 BLE/Zigbee IoT模块，内置DPI应用识别，支持802.11k/v/r协议，内置portal认证，支持内建账号。</t>
    <phoneticPr fontId="1" type="noConversion"/>
  </si>
  <si>
    <t>内置全向天线、放装型，支持802.11ax标准，整机三频十六空间流，最大并发数据传输速率≥10Gbps；2个10G接口（支持LACP），1个48V直流电源接口，1个 RS-232控制台，1个USB接口，1个独立扫描射频（用作空口射频扫描无线优化）；AP内置AC，最大可管理250台AP；支持非法AP定位和控制、支持白名单/黑名单、负载均衡、零接触配置 (ZTP)、频段转向（5G优先）；支持无线IDS和IPS，支持非法AP检测/抑制，黑名单/白名单区分功能；支持NAT，支持DHCP SERVER，支持负载均衡， 内置 BLE/Zigbee IoT模块，内置DPI应用识别，支持802.11k/v/r协议，内置portal认证，支持内建账号，支持ACC高级蜂窝共存。</t>
    <phoneticPr fontId="1" type="noConversion"/>
  </si>
  <si>
    <t>内置全向天线室外型AP，支持IP67级防护标准，支持802.11ax标准，整机双频六空间流，最大并发数据传输速率≥2.95Gbps；1个2.5G端口，1个GbE端口（符合 802.3at/af标准的以太网供电(PoE-PSE))，1个 1G SFP端口，1个USB接口，1个独立扫描射频（用作空口射频扫描无线优化）；AP内置AC，最大可管理250台AP；支持非法AP定位和控制、支持白名单/黑名单、负载均衡、零接触配置 (ZTP)、频段转向（5G优先）；支持无线IDS和IPS，支持非法AP检测/抑制，黑名单/白名单区分功能；支持NAT，支持DHCP SERVER，支持负载均衡，内置 BLE/Zigbee IoT模块，内置DPI应用识别，支持802.11k/v/r协议，内置portal认证，支持内建账号，支持ACC高级蜂窝共存。</t>
    <phoneticPr fontId="1" type="noConversion"/>
  </si>
  <si>
    <t>内置定向天线室外型AP，支持IP67级防护标准，支持802.11ax标准，整机双频六空间流，最大并发数据传输速率≥2.95Gbps；1个2.5G端口，1个GbE端口（符合 802.3at/af标准的以太网供电(PoE-PSE))，1个 1G SFP端口，1个USB接口，1个独立扫描射频（用作空口射频扫描无线优化）；AP内置AC，最大可管理250台AP；支持非法AP定位和控制、支持白名单/黑名单、负载均衡、零接触配置 (ZTP)、频段转向（5G优先）；支持无线IDS和IPS，支持非法AP检测/抑制，黑名单/白名单区分功能；支持NAT，支持DHCP SERVER，支持负载均衡，内置 BLE/Zigbee IoT模块，内置DPI应用识别，支持802.11k/v/r协议，内置portal认证，支持内建账号，支持ACC高级蜂窝共存。</t>
    <phoneticPr fontId="1" type="noConversion"/>
  </si>
  <si>
    <t>外置天线室外型AP，支持IP67级防护标准，支持802.11ax标准，整机双频六空间流，最大并发数据传输速率≥2.95Gbps；1个2.5G端口，1个GbE端口（符合 802.3at/af标准的以太网供电(PoE-PSE))，1个 1G SFP端口，1个USB接口，1个独立扫描射频（用作空口射频扫描无线优化）；AP内置AC，最大可管理250台AP；支持非法AP定位和控制、支持白名单/黑名单、负载均衡、零接触配置 (ZTP)、频段转向（5G优先）；支持无线IDS和IPS，支持非法AP检测/抑制，黑名单/白名单区分功能；支持NAT，支持DHCP SERVER，支持负载均衡，内置 BLE/Zigbee IoT模块，内置DPI应用识别，支持802.11k/v/r协议，内置portal认证，支持内建账号，支持ACC高级蜂窝共存。</t>
    <phoneticPr fontId="1" type="noConversion"/>
  </si>
  <si>
    <t>内置全向天线、放装型，支持WIFI6E标准，整机三频(三个射频支持2.4GHz/5GHz/6GHz频段)六空间流，最大并发数据传输速率≥3.5Gbps；1个2.5G多速率端口（支持POE供电），1个1G端口，1个48V直流电源接口，1个 RS-232控制台，1个USB接口；AP内置AC，最大可管理250台AP；支持非法AP定位和控制、支持白名单/黑名单、负载均衡、零接触配置 (ZTP)、频段转向（5G优先）；支持无线IDS和IPS，支持非法AP检测/抑制，黑名单/白名单区分功能；支持NAT，支持DHCP SERVER，支持负载均衡， 内置 BLE/Zigbee IoT模块，内置DPI应用识别，支持802.11k/v/r协议，内置portal认证，支持内建账号，支持ACC高级蜂窝共存。</t>
    <phoneticPr fontId="1" type="noConversion"/>
  </si>
  <si>
    <t>注意：无独立扫描射频（用作空口射频扫描无线优化）</t>
    <phoneticPr fontId="1" type="noConversion"/>
  </si>
  <si>
    <t>内置全向天线、放装型，支持WIFI6E标准，整机三频(三个射频支持2.4GHz/5GHz/6GHz频段)六空间流，最大并发数据传输速率≥4Gbps；2个2.5G端口，1个48V直流电源接口，1个 RS-232控制台，1个USB接口；AP内置AC，最大可管理250台AP；支持非法AP定位和控制、支持白名单/黑名单、负载均衡、零接触配置 (ZTP)、频段转向（5G优先）；支持无线IDS和IPS，支持非法AP检测/抑制，黑名单/白名单区分功能；支持NAT，支持DHCP SERVER，支持负载均衡， 内置 BLE/Zigbee IoT模块，内置DPI应用识别，支持802.11k/v/r协议，内置portal认证，支持内建账号，支持ACC高级蜂窝共存。</t>
    <phoneticPr fontId="1" type="noConversion"/>
  </si>
  <si>
    <t>内置全向天线、放装型，支持WIFI6E标准，整机三频(三个射频支持2.4GHz/5GHz/6GHz频段)十六空间流，最大并发数据传输速率≥10Gbps；2个10G接口（支持LACP），1个48V直流电源接口，1个 RS-232控制台，1个USB接口，1个独立扫描射频（用作空口射频扫描无线优化）；AP内置AC，最大可管理250台AP；支持非法AP定位和控制、支持白名单/黑名单、负载均衡、零接触配置 (ZTP)、频段转向（5G优先）；支持无线IDS和IPS，支持非法AP检测/抑制，黑名单/白名单区分功能；支持NAT，支持DHCP SERVER，支持负载均衡， 内置 BLE/Zigbee IoT模块，内置DPI应用识别，支持802.11k/v/r协议，内置portal认证，支持内建账号，支持ACC高级蜂窝共存。</t>
    <phoneticPr fontId="1" type="noConversion"/>
  </si>
  <si>
    <t>内置全向天线、放装型，支持802.11ac Wave 2标准，整机双频四空间流，最大并发数据传输速率≥1.15Gbps；1个GE接口，1个48V直流电源接口，1个Console口；AP内置AC，最大可管理250台AP；支持非法AP定位和控制、支持白名单/黑名单、负载均衡、零接触配置 (ZTP)、频段转向（5G优先）；支持无线IDS和IPS，支持非法AP检测/抑制，黑名单/白名单区分功能；支持NAT，支持DHCP SERVER，支持负载均衡，支持802.11k/v/r协议，内置portal认证，支持内建账号，支持ACC高级蜂窝共存。</t>
    <phoneticPr fontId="1" type="noConversion"/>
  </si>
  <si>
    <t>内置全向天线，支持86底盒安装，支持802.11ac Wave 2标准，整机双频四空间流，最大并发数据传输速率≥1.15Gbps；1个上行GE接口，3个GE下行接口（支持VLAN划分），1对无源直通口，1个48V直流电源接口，1个 USB 端口；AP内置AC，最大可管理250台AP；支持非法AP定位和控制、支持白名单/黑名单、负载均衡、零接触配置 (ZTP)、频段转向（5G优先）；支持无线IDS和IPS，支持非法AP检测/抑制，黑名单/白名单区分功能；支持NAT，支持DHCP SERVER，支持负载均衡，支持802.11k/v/r协议，内置portal认证，支持内建账号。</t>
    <phoneticPr fontId="1" type="noConversion"/>
  </si>
  <si>
    <t>内置全向天线、放装型，支持802.11ac Wave 2标准，整机三频八空间流，最大并发数据传输速率≥4.25Gbps；1个2.5G接口和1个GE接口（支持LACP），1个48V直流电源接口，1个Console口；AP内置AC，最大可管理250台AP；支持非法AP定位和控制、支持白名单/黑名单、负载均衡、零接触配置 (ZTP)、频段转向（5G优先）；支持无线IDS和IPS，支持非法AP检测/抑制，黑名单/白名单区分功能；支持NAT，支持DHCP SERVER，支持负载均衡，内置支持 BLE IoT模块，内置DPI应用识别，支持802.11k/v/r协议，内置portal认证，支持内建账号，支持ACC高级蜂窝共存。</t>
    <phoneticPr fontId="1" type="noConversion"/>
  </si>
  <si>
    <t>外置天线、放装型，支持802.11ac Wave 2标准，整机三频八空间流，最大并发数据传输速率≥4.25Gbps；1个2.5G接口和1个GE接口（支持LACP），1个48V直流电源接口，1个Console口；AP内置AC，最大可管理250台AP；支持非法AP定位和控制、支持白名单/黑名单、负载均衡、零接触配置 (ZTP)、频段转向（5G优先）；支持无线IDS和IPS，支持非法AP检测/抑制，黑名单/白名单区分功能；支持NAT，支持DHCP SERVER，支持负载均衡，内置支持 BLE IoT模块，内置DPI应用识别，支持802.11k/v/r协议，内置portal认证，支持内建账号，支持ACC高级蜂窝共存。</t>
    <phoneticPr fontId="1" type="noConversion"/>
  </si>
  <si>
    <t>吞吐量≥4Gbps，最大并发连接数≥80万，每秒新建连接数≥2.5万；千兆RJ45铜缆接口≥5个，千兆GE/SFP Combo接口≥1个；电源适配器；支持扩展4G无线模块/WIFI模块；IPSec VPN隧道数量≥100条；实配SSL VPN并发用户数许可≥50；支持路由、透明及混合等多种部署模式；支持策略预编译技术；实配标准DNS服务器功能；实配链路负载均衡功能；实配带宽管理功能；支持上网行为管理功能；支持入侵防御功能；支持网络防病毒功能；支持威胁情报功能；实配SD-WAN功能；实配资产防护功能；实配SSL加密流量检测功能；本次配置IPS升级许可≥X年；本次配置AV升级许可≥X年；本次配置ATP升级许可≥X年；本次配置AC升级许可≥X年；本次配置CITP升级许可≥X年。</t>
    <phoneticPr fontId="1" type="noConversion"/>
  </si>
  <si>
    <t>吞吐量≥10Gbps，最大并发连接数≥300万，每秒新建连接数≥8万；千兆RJ45铜缆接口≥8个，千兆SFP光口≥2个，万兆SFP+光口≥2个；实配冗余交流电源；IPSec VPN隧道数量≥600条；实配SSL VPN并发用户数许可≥500；支持路由、透明及混合等多种部署模式；支持策略预编译技术；实配标准DNS服务器功能；实配链路负载均衡功能；实配带宽管理功能；支持上网行为管理功能；支持入侵防御功能；支持网络防病毒功能；支持Web应用防护功能；支持威胁情报功能；实配SD-WAN功能；实配资产防护功能；实配SSL加密流量检测功能；本次配置IPS升级许可≥X年；本次配置AV升级许可≥X年；本次配置ATP升级许可≥X年；本次配置AC升级许可≥X年；本次配置WAF升级许可≥X年；本次配置CITP升级许可≥X年。</t>
    <phoneticPr fontId="1" type="noConversion"/>
  </si>
  <si>
    <t>吞吐量≥40Gbps，最大并发连接数≥800万，每秒新建连接数≥16万；千兆RJ45铜缆接口≥6个，千兆SFP光口≥2个，万兆SFP+光口≥2个，扩展槽≥2个；实配模块化冗余交流电源；IPSec VPN隧道数量≥3000条；实配SSL VPN并发用户数许可≥1000；支持路由、透明及混合等多种部署模式；支持策略预编译技术；实配标准DNS服务器功能；实配链路负载均衡功能；实配带宽管理功能；支持上网行为管理功能；支持入侵防御功能；支持网络防病毒功能；支持Web应用防护功能；支持威胁情报功能；实配SD-WAN功能；实配资产防护功能；实配SSL加密流量检测功能；本次配置IPS升级许可≥X年；本次配置AV升级许可≥X年；本次配置ATP升级许可≥X年；本次配置AC升级许可≥X年；本次配置WAF升级许可≥X年；本次配置CITP升级许可≥X年。</t>
    <phoneticPr fontId="1" type="noConversion"/>
  </si>
  <si>
    <t>全国产化防火墙，基于飞腾芯片和麒麟操作系统；吞吐量≥40Gbps，最大并发连接数≥1200万，每秒新建连接数≥20万；千兆RJ45铜缆接口≥6个，千兆SFP光口≥4个，扩展槽≥4个；实配模块化冗余交流电源；IPSec VPN隧道数量≥5000条；实配SSL VPN并发用户数许可≥300；支持路由、透明及混合等多种部署模式；支持策略预编译技术；实配标准DNS服务器功能；实配链路负载均衡功能；实配带宽管理功能；支持上网行为管理功能；支持入侵防御功能；支持网络防病毒功能；支持Web应用防护功能；支持威胁情报功能；实配SD-WAN功能；实配资产防护功能；实配SSL加密流量检测功能；本次配置IPS升级许可≥X年；本次配置AV升级许可≥X年；本次配置ATP升级许可≥X年；本次配置AC升级许可≥X年；本次配置WAF升级许可≥X年；本次配置CITP升级许可≥X年。</t>
    <phoneticPr fontId="1" type="noConversion"/>
  </si>
  <si>
    <t>SD-WAN控制器</t>
    <phoneticPr fontId="1" type="noConversion"/>
  </si>
  <si>
    <t>支持多租户，支持多组织，不同的组织之间数据相互隔离；支持超级管理员，代维管理员，组织管理员权限；支持设备基本信息维护，underlay相关配置，HA配置；支持定义不同的设备类型，规范物理口的数量和名称；支持邮件开局和本地开局；支持从控制器单点登录到设备管理界面，进行单机配置；支持WEB SSH命令行管理设备；支持自动组网，包含单区域自动组网以及多区域自动组网；支持批量同步给某个设备组内的所有设备，支持sdwan策略，QoS策略，防火墙策略，nat策略，防护策略；支持日志过滤、日志服务器，配置能下发到设备；支持组织视角下,隧道、安全、系统状态监控；支持告警离线，隧道断开，接口down，系统重启，CPU,内存超过指定阈值，HA状态切换等实时告警
，支持告警以邮件发送转发给指定管理员；支持控制器作为syslog服务器，接收并展示设备相关syslog日志，含系统日志，审计日志，安全日志，VPN日志，SDWAN日志，流日志等6大类36小类；支持设备固件版本统一升级；支持设备特征库版本统一升级，支持对设备进行特征库版本升级，特征库包括IPS，AV，APP，URL，WAF等。</t>
    <phoneticPr fontId="1" type="noConversion"/>
  </si>
  <si>
    <t>无线管理平台/无线控制器</t>
    <phoneticPr fontId="1" type="noConversion"/>
  </si>
  <si>
    <t>采用软硬一体化架构或者基于主流虚拟化（比如VMware Vsphere、Hyper-V、KVM等）部署；本次采用HA双机高可用部署；最大支持管控（非可配置）的AP数≥4000个，且该容量应与AP的型号、采用的数据转发方式无关；支持无线规划Floor Plan；支持无线安全WIDS/WIPS，配置无线入侵防御功能，支持对非法AP、未授权客户端、DoS攻击进行检测，并采取对策来减轻外来入侵的影响；支持智能射频管理功能，能够根据无线动态调整优化AP工作信道和发射功率；支持跨L2/L3网段漫游（Roaming）功能；支持动态负载均衡；支持并配置应用分析功能，支持应用特征库升级；支持无线热图Heat Map；支持AP计划升级；支持客户端信息统计；支持本地认证、LDAP、AD、Radius等认证服务器类型对接；支持主流的MAC/802.1X/Portal认证（页面可定制），支持访客认证（支持与邮件服务器对接）进行审批；本次配置≥X个无线AP接入许可；本次配置并发认证许可≥X个；本次配置有线网络管理许可≥X个；配置无线AP深度包检测DPI特征库功能/模块；配置无线规划Floor Plan功能/模块 ；配置无线热图Heat Map功能/模块；配置无线入侵检测/防御（WIDS/WIPS）功能/模块。</t>
    <phoneticPr fontId="1" type="noConversion"/>
  </si>
  <si>
    <t>综合网络管理</t>
    <phoneticPr fontId="1" type="noConversion"/>
  </si>
  <si>
    <t>网元管理系统，能够管理本次采购的所有无线AP和交换机等设备，在同一拓扑图统一展示有线和无线设备及第三方SNMP设备；基于主流虚拟化（比如VMware Vsphere、Hyper-V、KVM等）部署；支持HA部署，实现系统配置和日志业务不中断；支持可视窗口部件实时监测和分析关键网络性能指标提供包括显示、数据和其他重要网络和设备信息等各种选择，具有高级报表功能；支持逻辑和物理拓扑生成；支持实时监控、通知告警；支持快速故障排除和网络隔离问题；支持基准软件版本更新管理，在整个网络基础架构范围内支持无错误的、复杂的配置管理变更的自动化运维；支持与第三方的防火墙、IDS、IPS安全联动；支持虚拟机漂移时，系统自动感知做网络策略调整；支持应用分析，支持特征库升级及下发网络设备，支持全网集中展示各类应用以及自定义应用，支持图形化展示，支持按照应用类型，用户，带宽占用等维度呈现并对其进行管理和调优等；本次实配≥X网元设备管理许可（支持第三方网络设备管理）；
配置≥10个虚拟机漂移对接功能/模块许可；实配DPI（深度包检测）应用识别功能许可；实配流量采样Sflow（RFC 3176）功能/模块许可；实配SPB管理功能模块；实配VXLAN管理功能模块；实配物联网IoT管理模块及无数量限制IoT管理许可以及IoT特征库升级许可。</t>
    <phoneticPr fontId="1" type="noConversion"/>
  </si>
  <si>
    <t>认证管理系统</t>
    <phoneticPr fontId="1" type="noConversion"/>
  </si>
  <si>
    <t>认证管理系统，采用软硬一体化架构或者基于主流虚拟化（比如VMware Vsphere、Hyper-V、KVM等）部署；本次采用HA双机高可用部署；支持有线和无线用户接入的角色策略的统一接口，统一认证配置和用户识别，给予相应的网络访问权限和动态的业务策略；支持支持多种方式灵活认证，包括MAC 、802.1x、强制门户webportal等；支持本地认证、LDAP、AD、Radius等认证服务器类型；支持员工BYOD认证，支持用户名和密码认证；支持员工使用自己设备（BYOD）的接入网络，经过BYOD门户身份验证之后授予对网络的访问权限；支持Guest访客认证，支持创建访客/来宾操作员，他具有创建和删除访客/来宾账户和审批（批准或者拒绝）自注册访客权限；支持批量创建或者导入来宾账户，支持打印来宾账户和密码便于来宾接入网络；支持访客/来宾自注册（输入必要信息，比如用户名、密码、电话号码、访问员工姓名、访问原因等），注册完成后可由被访问的员工或者访客/来宾管理员审批后，方可接入网络；内置超过5种portal页面类型，支持对登录以及登录成功页面进行自定义，包括微标面板、功能面板、广告图片面板自定义，支持内嵌图片广播，支持内嵌视频功能；支持物联网特征库识别认证，对PC、智能终端、打印机、摄像头等终端进行认证准入控制；支持与电子邮件服务器集成实现向访客用户发送电子邮件以通知他们的登录凭据；向管理员或员工发送带有批准链接的电子邮件以进行授权；支持将身份认证日志发送给外部的日志服务器留存溯源，服务器类型支持MySQL/Microsoft SQL/Syslog服务器等；本次配置员工BYOD认证许可≥X个，配置Guest访客认证许可≥X个，MAC及802.1X认证数量无限制。</t>
    <phoneticPr fontId="1" type="noConversion"/>
  </si>
  <si>
    <t>OAW-6110</t>
    <phoneticPr fontId="1" type="noConversion"/>
  </si>
  <si>
    <t>1U规格，至少4个1G电口，1个2.5G电口，xconsole口，至少1xUSB；最大支持管理AP数量≥512 ，本次项目配置128个(默认)；支持本地转发、集中转发；支持快速的二、三层漫游；支持MAC认证，Portal认证，802.1X认证，WAPI认证等多种认证方式；支持内置Radius认证服务器；支持基于用户角色的接入控制(Access Profile)，精准控制用户的接入以及权限的分配；支持Portal页面定制，可根据需求定义个性化页面；支持AP分组管理，无线射频规则按AP组进行配置；支持wIDS无线安全探测，支持wIPS无线安全防御；</t>
    <phoneticPr fontId="1" type="noConversion"/>
  </si>
  <si>
    <t>OAW-AP1511-RW</t>
    <phoneticPr fontId="1" type="noConversion"/>
  </si>
  <si>
    <t>OAW-AP1521-RW</t>
    <phoneticPr fontId="1" type="noConversion"/>
  </si>
  <si>
    <t>核心芯片，PHY，FPGA，闪存都需要满足国产化；交换容量≥38Tbps，包转发率≥1800Mpps；(官网彩页若标注为 A/B值,以A/B值中小值为准)；现配≥48个10G SFP+光纤接口，≥8个100G QSFP28光纤接口；≥1个EMP带外管理接口；支持并实配可插拔冗余电源和可插拔冗余风扇；支持虚拟化/堆叠，支持MLAG；支持基于802.1Qbb优先级的PFC、ECN技术的ROCEv2；支持VXLAN/NvGRE/GENEVE tunnel，VxLAN/NvGRE Bridge，VxLAN/NvGRE Route；支持VXLAN-EVPN；支持ITU-T G.8032/Y.1344以太环网技术；支持业界标准协议Sflow（RFC 3176）的流量采样分析；支持MPLS，支持MPLS/BGP L3VPN，支持MPLS based EVPN，支持MPLS Segment Routing；支持过滤和监控VxLAN/GRE隧道内层报文；支持JSON RPC API接口；支持OVSDB;相同的硬件可以运行OpenFlow交换机软件；支持CPU抓包功能</t>
    <phoneticPr fontId="1" type="noConversion"/>
  </si>
  <si>
    <t>核心芯片，PHY，FPGA，闪存都需要满足国产化；交换容量≥25Tbps，包转发率≥600Mpps；(官网彩页若标注为 A/B值,以A/B值中小值为准)；现配≥24个10G SFP+光纤接口，≥2个100G QSFP28光纤接口；≥1个EMP带外管理接口；支持并实配可插拔冗余电源和冗余风扇；支持虚拟化/堆叠，支持MLAG；支持基于802.1Qbb优先级的PFC、ECN技术的ROCEv2；支持VXLAN/NvGRE/GENEVE tunnel，VxLAN/NvGRE Bridge，VxLAN/NvGRE Route；支持VXLAN-EVPN；支持ITU-T G.8032/Y.1344以太环网技术；支持业界标准协议Sflow（RFC 3176）的流量采样分析；支持MPLS，支持MPLS/BGP L3VPN，支持MPLS based EVPN，支持MPLS Segment Routing；支持过滤和监控VxLAN/GRE隧道内层报文；支持JSON RPC API接口；支持OVSDB;支持CPU抓包功能</t>
    <phoneticPr fontId="1" type="noConversion"/>
  </si>
  <si>
    <t>核心芯片，PHY，闪存都需要满足国产化；交换容量≥2.5Tbps，包转发率≥180Mpps；(官网彩页若标注为 A/B值,以A/B值中小值为准)；现配≥48千兆电口，≥4个10G SFP+光纤接口；≥1个EMP带外管理接口；支持并实配可插拔冗余电源和冗余风扇；支持虚拟化/堆叠，支持MLAG；支持基于802.1Qbb优先级的PFC、ECN技术的ROCEv2；支持VXLAN/NvGRE/GENEVE tunnel，VxLAN/NvGRE Bridge，VxLAN/NvGRE Route；支持VXLAN-EVPN；支持ITU-T G.8032/Y.1344以太环网技术；支持业界标准协议Sflow（RFC 3176）的流量采样分析；支持MPLS，支持MPLS/BGP L3VPN，支持MPLS based EVPN，支持MPLS Segment Routing；支持过滤和监控VxLAN/GRE隧道内层报文；支持JSON RPC API接口；支持OVSDB;支持CPU抓包功能</t>
    <phoneticPr fontId="1" type="noConversion"/>
  </si>
  <si>
    <t>核心芯片，PHY，闪存都需要满足国产化；交换容量≥2.5Tbps，包转发率≥200Mpps；(官网彩页若标注为 A/B值,以A/B值中小值为准)；现配≥24千兆电口，≥8个10G SFP+光纤接口；≥1个EMP带外管理接口；支持并实配冗余电源和冗余风扇；支持虚拟化/堆叠，支持MLAG；支持基于802.1Qbb优先级的PFC、ECN技术的ROCEv2；支持VXLAN/NvGRE/GENEVE tunnel，VxLAN/NvGRE Bridge，VxLAN/NvGRE Route；支持VXLAN-EVPN；支持ITU-T G.8032/Y.1344以太环网技术；支持业界标准协议Sflow（RFC 3176）的流量采样分析；支持MPLS，支持MPLS/BGP L3VPN，支持MPLS based EVPN，支持MPLS Segment Routing；支持过滤和监控VxLAN/GRE隧道内层报文；支持JSON RPC API接口；支持OVSDB;支持CPU抓包功能</t>
    <phoneticPr fontId="1" type="noConversion"/>
  </si>
  <si>
    <t>核心芯片，PHY，闪存都需要满足国产化；交换容量≥2.5Tbps，包转发率≥280Mpps；(官网彩页若标注为 A/B值,以A/B值中小值为准)；现配≥48千兆电口，≥6个10/25G SFP28光纤接口；≥1个EMP带外管理接口；POE接口支持802.3af和802.3at供电输出，整机POE功耗≥1440W；支持并实配冗余电源和冗余风扇；支持虚拟化/堆叠，支持MLAG；支持基于802.1Qbb优先级的PFC、ECN技术的ROCEv2；支持VXLAN/NvGRE/GENEVE tunnel，VxLAN/NvGRE Bridge，VxLAN/NvGRE Route；支持VXLAN-EVPN；支持ITU-T G.8032/Y.1344以太环网技术；支持业界标准协议Sflow（RFC 3176）的流量采样分析；支持MPLS，支持MPLS/BGP L3VPN，支持MPLS based EVPN，支持MPLS Segment Routing；支持过滤和监控VxLAN/GRE隧道内层报文；支持JSON RPC API接口；支持OVSDB;支持CPU抓包功能</t>
    <phoneticPr fontId="1" type="noConversion"/>
  </si>
  <si>
    <t>核心芯片，PHY，闪存都需要满足国产化；交换容量≥2.5Tbps，包转发率≥260Mpps；(官网彩页若标注为 A/B值,以A/B值中小值为准)；现配≥24千兆电口，≥6个10/25G SFP28光纤接口；≥1个EMP带外管理接口；POE接口支持802.3af和802.3at供电输出，整机POE功耗≥720W；支持并实配冗余电源和冗余风扇；支持虚拟化/堆叠，支持MLAG；支持基于802.1Qbb优先级的PFC、ECN技术的ROCEv2；支持VXLAN/NvGRE/GENEVE tunnel，VxLAN/NvGRE Bridge，VxLAN/NvGRE Route；支持VXLAN-EVPN；支持ITU-T G.8032/Y.1344以太环网技术；支持业界标准协议Sflow（RFC 3176）的流量采样分析；支持MPLS，支持MPLS/BGP L3VPN，支持MPLS based EVPN，支持MPLS Segment Routing；支持过滤和监控VxLAN/GRE隧道内层报文；支持JSON RPC API接口；支持OVSDB;支持CPU抓包功能</t>
    <phoneticPr fontId="1" type="noConversion"/>
  </si>
  <si>
    <t>核心芯片，PHY，闪存都需要满足国产化；交换容量≥2.5Tbps，包转发率≥180Mpps；(官网彩页若标注为 A/B值,以A/B值中小值为准)；现配≥48千兆SFP光纤接口，≥4个10G SFP+光纤接口；≥1个EMP带外管理接口；支持并实配可插拔冗余电源和冗余风扇；支持虚拟化/堆叠，支持MLAG；支持基于802.1Qbb优先级的PFC、ECN技术的ROCEv2；支持VXLAN/NvGRE/GENEVE tunnel，VxLAN/NvGRE Bridge，VxLAN/NvGRE Route；支持VXLAN-EVPN；支持ITU-T G.8032/Y.1344以太环网技术；支持业界标准协议Sflow（RFC 3176）的流量采样分析；支持MPLS，支持MPLS/BGP L3VPN，支持MPLS based EVPN，支持MPLS Segment Routing；支持过滤和监控VxLAN/GRE隧道内层报文；支持JSON RPC API接口；支持OVSDB;支持CPU抓包功能</t>
    <phoneticPr fontId="1" type="noConversion"/>
  </si>
  <si>
    <t>OS2160-24</t>
    <phoneticPr fontId="1" type="noConversion"/>
  </si>
  <si>
    <t>核心芯片需要满足国产化；交换容量≥750bps，包转发率≥40Mpps；(官网彩页若标注为 A/B值,以A/B值中小值为准)；现配≥24千兆电口，≥4个千兆SFP光纤接口;支持IEEE 802.1Q（VLAN）；支持端口隔离；支持风暴控制；支持JumboFrame；支持静态和动态链路聚合；支持STP、RSTP；支持环网协议；支持端口环路检测；支持流分类、流量监管、流量整形；支持基于MAC/IP的ACL；支持SNMP v1/v2c；支WEB管理，支持一键恢复出厂默认配置；支持批量ZTP上线</t>
    <phoneticPr fontId="1" type="noConversion"/>
  </si>
  <si>
    <t>核心芯片需要满足国产化；交换容量≥350bps，包转发率≥15Mpps；(官网彩页若标注为 A/B值,以A/B值中小值为准)；现配≥8千兆电口，≥2个千兆SFP光纤接口;支持IEEE 802.1Q（VLAN）；支持端口隔离；支持风暴控制；支持JumboFrame；支持静态和动态链路聚合；支持STP、RSTP；支持环网协议；支持端口环路检测；支持流分类、流量监管、流量整形；支持基于MAC/IP的ACL；支持SNMP v1/v2c；支WEB管理，支持一键恢复出厂默认配置；支持批量ZTP上线</t>
    <phoneticPr fontId="1" type="noConversion"/>
  </si>
  <si>
    <t>核心芯片需要满足国产化；交换容量≥750bps，包转发率≥40Mpps；(官网彩页若标注为 A/B值,以A/B值中小值为准)；现配≥24千兆电口，≥4个千兆SFP光纤接口;支持802.3af和802.3at供电输出，整机POE功耗≥280W;支持IEEE 802.1Q（VLAN）；支持端口隔离；支持风暴控制；支持JumboFrame；支持静态和动态链路聚合；支持STP、RSTP；支持环网协议；支持端口环路检测；支持流分类、流量监管、流量整形；支持基于MAC/IP的ACL；支持SNMP v1/v2c；支WEB管理，支持一键恢复出厂默认配置；支持批量ZTP上线</t>
    <phoneticPr fontId="1" type="noConversion"/>
  </si>
  <si>
    <t>核心芯片需要满足国产化；交换容量≥350bps，包转发率≥15Mpps；(官网彩页若标注为 A/B值,以A/B值中小值为准)；现配≥8千兆电口，≥2个千兆SFP光纤接口;支持802.3af和802.3at供电输出，整机POE功耗≥150W;支持IEEE 802.1Q（VLAN）；支持端口隔离；支持风暴控制；支持JumboFrame；支持静态和动态链路聚合；支持STP、RSTP；支持环网协议；支持端口环路检测；支持流分类、流量监管、流量整形；支持基于MAC/IP的ACL；支持SNMP v1/v2c；支WEB管理，支持一键恢复出厂默认配置；支持批量ZTP上线</t>
    <phoneticPr fontId="1" type="noConversion"/>
  </si>
  <si>
    <t>内置全向天线、86底盒安装面板型，支持802.11ax标准，整机双频四空间流，最大并发数据传输速率≥1.75Gbps；1个GE上行接口，1个GE下行口；AP内置AC，最大可管理250台AP；支持非法AP定位和控制、支持白名单/黑名单、负载均衡、零接触配置 (ZTP)、频段转向（5G优先）；支持无线IDS和IPS，支持非法AP检测/抑制，黑名单/白名单区分功能；支持NAT，支持DHCP SERVER，支持负载均衡，支持802.11k/v/r协议，内置portal认证，支持内建账号。</t>
    <phoneticPr fontId="1" type="noConversion"/>
  </si>
  <si>
    <t>内置全向天线、放装型，支持WIFI7标准，整机三频(三个射频支持2.4GHz/5GHz/6GHz频段)六空间流，最大并发数据传输速率≥9Gbps；1个5G多速率端口（支持POE供电），1个48V直流电源接口，1个 RS-232控制台，1个USB接口；AP内置AC，最大可管理250台AP；支持非法AP定位和控制、支持白名单/黑名单、负载均衡、零接触配置 (ZTP)、频段转向（5G优先）；支持无线IDS和IPS，支持非法AP检测/抑制，黑名单/白名单区分功能；支持NAT，支持DHCP SERVER，支持负载均衡， 内置 BLE/Zigbee IoT模块，内置DPI应用识别，支持802.11k/v/r协议，内置portal认证，支持内建账号。</t>
    <phoneticPr fontId="1" type="noConversion"/>
  </si>
  <si>
    <t>内置全向天线、放装型，支持WIFI7标准，整机三频(三个射频支持2.4GHz/5GHz/6GHz频段) 八空间流，最大并发数据传输速率≥12Gbps；1个10G多速率端口（支持POE供电），1个GE端口，1个48V直流电源接口，1个 RS-232控制台，1个USB接口；1个独立扫描射频（用作空口射频扫描无线优化）；AP内置AC，最大可管理250台AP；支持非法AP定位和控制、支持白名单/黑名单、负载均衡、零接触配置 (ZTP)、频段转向（5G优先）；支持无线IDS和IPS，支持非法AP检测/抑制，黑名单/白名单区分功能；支持NAT，支持DHCP SERVER，支持负载均衡， 内置 BLE/Zigbee IoT模块，内置DPI应用识别，支持802.11k/v/r协议，内置portal认证，支持内建账号。</t>
    <phoneticPr fontId="1" type="noConversion"/>
  </si>
  <si>
    <t>交换容量≥760Gbps，包转发率≥120Mpps(官网彩页若标注为 A/B值，以A/B值中小值为准)；千兆RJ45铜缆接口≥24个；10G SFP+光纤接口≥4个，支持虚拟机箱，最大可扩展单元≥8台；MAC地址表≥32K；支持业界标准协议Sflow（RFC 3176）的流量采样分析；支持端口、MAC和IEEE 802.1Q（VLAN）；支持IPv4和IPv6特性，支持RIP、OSPF三层路由；支持ITU-T G.8032/Y.1344以太环网保护协议；支持冗余操作系统及配置回退；支持多种管理手段：包括命令行(CLI)、SNMP、Web和网管平台，现配支持UDLD、LLDP协议；</t>
    <phoneticPr fontId="1" type="noConversion"/>
  </si>
  <si>
    <t>高密1U 数据中心交换机；交换容量≥38Tbps，包转发率≥1600Mpps(官网彩页若标注为 A/B值，以A/B值中小值为准)；实配≥48个SFP+ 10/1G光纤接口，≥6个100G QSFP28端口，EMP（带外管理RJ45接口）≥1个；实配模块化热插拔交流电源≥2个，冗余风扇≥4个；支持N:1虚拟化并实配许可（N≥6），支持设备间Full-Mesh全互联网状连接；支持RFC 7348 VXLAN协议；支持IEEE 802.1aq SPB协议；支持RFC 3176 Sflow流量采样协议；支持ITU-T G.8032/Y.1344以太环网保护协议；支持SLB服务器负载均衡；内置IoT设备指纹特征库，支持对常见的打印机、IP摄像头、电脑、智能终端自动识别后进行资产分类和安全管控策略；支持冗余操作系统和配置回退。</t>
    <phoneticPr fontId="1" type="noConversion"/>
  </si>
  <si>
    <t>高密1U 数据中心交换机；交换容量≥38Tbps，包转发率≥1600Mpps(官网彩页若标注为 A/B值，以A/B值中小值为准)；实配≥48个10G 10/1G base-T电接口，≥6个100G QSFP28端口，EMP（带外管理RJ45接口）≥1个；实配模块化热插拔交流电源≥2个，冗余风扇≥4个；支持N:1虚拟化并实配许可（N≥6），支持设备间Full-Mesh全互联网状连接；支持RFC 7348 VXLAN协议；支持IEEE 802.1aq SPB协议；支持RFC 3176 Sflow流量采样协议；支持ITU-T G.8032/Y.1344以太环网保护协议；内置IoT设备指纹特征库，支持对常见的打印机、IP摄像头、电脑、智能终端自动识别后进行资产分类和安全管控策略；支持冗余操作系统和配置回退。</t>
    <phoneticPr fontId="1" type="noConversion"/>
  </si>
  <si>
    <t>高密1U 数据中心交换机；交换容量≥25Tbps，包转发率≥800Mpps(官网彩页若标注为 A/B值，以A/B值中小值为准)；实配≥26个SFP+ 10/1G光纤接口，≥2个100G QSFP28端口，EMP（带外管理RJ45接口）≥1个；实配模块化热插拔交流电源≥2个，冗余风扇≥4个；支持N:1虚拟化并实配许可；支持RFC 7348 VXLAN协议；支持IEEE 802.1aq SPB协议；支持RFC 3176 Sflow流量采样协议；支持ITU-T G.8032/Y.1344以太环网保护协议；内置IoT设备指纹特征库，支持对常见的打印机、IP摄像头、电脑、智能终端自动识别后进行资产分类和安全管控策略，支持冗余操作系统和配置回退。</t>
    <phoneticPr fontId="1" type="noConversion"/>
  </si>
  <si>
    <t>高密1U 数据中心交换机；交换容量≥25Tbps，包转发率≥800Mpps(官网彩页若标注为 A/B值，以A/B值中小值为准)；实配≥24个10G 10/1G base-T电接口，≥2个SFP+ 10光纤接口；≥2个100G QSFP28端口，EMP（带外管理RJ45接口）≥1个；支持N:1虚拟化并实配许可；支持RFC 7348 VXLAN协议；支持IEEE 802.1aq SPB协议；支持RFC 3176 Sflow流量采样协议；支持ITU-T G.8032/Y.1344以太环网保护协议；内置IoT设备指纹特征库，支持对常见的打印机、IP摄像头、电脑、智能终端自动识别后进行资产分类和安全管控策略；支持冗余操作系统和配置回退。</t>
    <phoneticPr fontId="1" type="noConversion"/>
  </si>
  <si>
    <t>高密1U 数据中心交换机；交换容量≥50Tbps，包转发率≥3000Mpps(官网彩页若标注为 A/B值，以A/B值中小值为准)；实配≥48个SFP28 25G光纤接口，≥2个SFP+ 10G光纤接口，≥8个100G QSFP28端口，EMP（带外管理RJ45接口）≥1个；实配模块化热插拔交流电源≥2个，冗余风扇≥4个；支持N:1虚拟化并实配许可（N≥6），支持设备间Full-Mesh全互联网状连接；支持RFC 7348 VXLAN协议；支持IEEE 802.1aq SPB协议；支持RFC 3176 Sflow流量采样协议；支持ITU-T G.8032/Y.1344以太环网保护协议；内置IoT设备指纹特征库，支持对常见的打印机、IP摄像头、电脑、智能终端自动识别后进行资产分类和安全管控策略；支持冗余操作系统和配置回退。</t>
    <phoneticPr fontId="1" type="noConversion"/>
  </si>
  <si>
    <t>高密1U 数据中心交换机；交换容量≥60Tbps，包转发率≥4800Mpps(官网彩页若标注为 A/B值，以A/B值中小值为准)；实配≥32个QSFP28 100G光纤接口，EMP（带外管理RJ45接口）≥1个；实配模块化热插拔交流电源≥2个，冗余风扇≥4个；支持N:1虚拟化并实配许可（N≥6），支持设备间Full-Mesh全互联网状连接；支持RFC 7348 VXLAN协议；支持IEEE 802.1aq SPB协议；支持RFC 3176 Sflow流量采样协议；支持ITU-T G.8032/Y.1344以太环网保护协议；内置IoT设备指纹特征库，支持对常见的打印机、IP摄像头、电脑、智能终端自动识别后进行资产分类和安全管控策略；支持冗余操作系统和配置回退。</t>
    <phoneticPr fontId="1" type="noConversion"/>
  </si>
  <si>
    <t>交换容量≥3.5Tbps，包转发率≥200Mpps(官网彩页若标注为 A/B值，以A/B值中小值为准)；实配≥24个1G base-T电接口；≥4个10G SFP+光纤接口；≥2个40G QSFP+接口；≥1个EMP（带外管理）RJ45接口；实配模块化热插拔交流电源≥X个；支持N:1虚拟化并实配许可（N≥8）；支持SDN/OPENFLOW 1.3.1/1.0标准；支持IEEE 802.1aq SPB协议；支持RFC 3176 Sflow流量采样协议；支持ITU-T G.8032/Y.1344以太环网保护协议；支持服务器负载均衡（SLB）；支持应用程序监控和执行 ；支持802.1AE MACsec协议；内置IoT设备指纹特征库，支持对常见的打印机、IP摄像头、电脑、智能终端自动识别后进行资产分类和安全管控策略；支持冗余操作系统和配置回退。</t>
    <phoneticPr fontId="1" type="noConversion"/>
  </si>
  <si>
    <t>交换容量≥5Tbps，包转发率≥500Mpps(官网彩页若标注为 A/B值，以A/B值中小值为准)；实配≥24个1G SFP光纤接口；≥4个10/1G SFP+光纤接口；≥4个 SFP28 25G/10/1G SFP+光纤接口；≥2个100G QSFP28接口；≥1个EMP（带外管理）RJ45接口；实配模块化热插拔交流电源≥X个；支持N:1虚拟化并实配许可（N≥8）；支持IEEE 802.1aq SPB协议；支持RFC 3176 Sflow流量采样协议；支持ITU-T G.8032/Y.1344以太环网保护协议；支持应用程序监控和执行 ；支持802.1AE MACsec协议；内置IoT设备指纹特征库，支持对常见的打印机、IP摄像头、电脑、智能终端自动识别后进行资产分类和安全管控策略；支持冗余操作系统和配置回退。</t>
    <phoneticPr fontId="1" type="noConversion"/>
  </si>
  <si>
    <t>交换容量≥2.5Tbps，包转发率≥180Mpps(官网彩页若标注为 A/B值，以A/B值中小值为准)；实配≥24个1G Base-T电接口；≥2个千兆SFP光纤接口；≥4个10/1G SFP+光纤接口；最大可扩展万兆SFP+光纤接口≥6；实配冗余交流电源≥X个；支持N:1虚拟化并实配许可（N≥8）；支持RFC 3176 Sflow流量采样协议；支持ITU-T G.8032/Y.1344以太环网保护协议；支持RIP、OSPF三层路由、VRRPv2/v3协议；支持802.1AE MACsec协议；内置IoT设备指纹特征库，支持对常见的打印机、IP摄像头、电脑、智能终端自动识别后进行资产分类和安全管控策略；支持UDLD、LLDP协议；支持冗余操作系统和配置回退。</t>
    <phoneticPr fontId="1" type="noConversion"/>
  </si>
  <si>
    <t>交换容量≥2.5Tbps，包转发率≥180Mpps(官网彩页若标注为 A/B值，以A/B值中小值为准)；实配≥24个1G Base-T电接口；≥2个千兆SFP光纤接口；≥4个10/1G SFP+光纤接口；最大可扩展万兆SFP+光纤接口≥6；实配模块化冗余交流电源≥X个；整机POE输出功率 ≥600W；支持N:1虚拟化并实配许可（N≥8）；支持RFC 3176 Sflow流量采样协议；支持ITU-T G.8032/Y.1344以太环网保护协议；支持RIP、OSPF三层路由、VRRPv2/v3协议；支持802.1AE MACsec协议；内置IoT设备指纹特征库，支持对常见的打印机、IP摄像头、电脑、智能终端自动识别后进行资产分类和安全管控策略；支持UDLD、LLDP协议；支持冗余操作系统和配置回退。</t>
    <phoneticPr fontId="1" type="noConversion"/>
  </si>
  <si>
    <t>交换容量≥2.5Tbps，包转发率≥160Mpps(官网彩页若标注为 A/B值，以A/B值中小值为准)；实配≥8个10/1G SFP+光纤接口；≥2个40G QSFP+光纤接口；实配冗余交流电源≥X个；支持N:1虚拟化并实配许可；支持RFC 3176 Sflow流量采样协议；支持ITU-T G.8032/Y.1344以太环网保护协议；支持RIP、OSPF三层路由、VRRPv2/v3协议；支持802.1AE MACsec协议；内置IoT设备指纹特征库，支持对常见的打印机、IP摄像头、电脑、智能终端自动识别后进行资产分类和安全管控策略；支持UDLD、LLDP协议；支持冗余操作系统和配置回退。</t>
    <phoneticPr fontId="1" type="noConversion"/>
  </si>
  <si>
    <t>交换容量≥760Gbps，包转发率≥220Mpps(官网彩页若标注为 A/B值，以A/B值中小值为准)；千兆RJ45铜缆接口≥48个；10G SFP+光纤接口≥6个，支持虚拟机箱，最大可扩展单元≥8台；MAC地址表≥32K；支持业界标准协议Sflow（RFC 3176）的流量采样分析；支持端口、MAC和IEEE 802.1Q（VLAN）；支持IPv4和IPv6特性，支持RIP、OSPF三层路由；支持ITU-T G.8032/Y.1344以太环网保护协议；支持冗余操作系统及配置回退；支持多种管理手段：包括命令行(CLI)、SNMP、Web和网管平台，现配支持UDLD、LLDP协议；</t>
    <phoneticPr fontId="1" type="noConversion"/>
  </si>
  <si>
    <t>交换容量≥760Gbps，包转发率≥120Mpps(官网彩页若标注为 A/B值，以A/B值中小值为准)；千兆RJ45铜缆接口≥24个；10G SFP+光纤接口≥4个；整机POE输出功率 ≥195W；支持虚拟机箱，最大可扩展单元≥8台；MAC地址表≥32K；支持业界标准协议Sflow（RFC 3176）的流量采样分析；支持端口、MAC和IEEE 802.1Q（VLAN）；支持IPv4和IPv6特性，支持RIP、OSPF三层路由；支持ITU-T G.8032/Y.1344以太环网保护协议；支持冗余操作系统及配置回退；支持多种管理手段：包括命令行(CLI)、SNMP、Web和网管平台，现配支持UDLD、LLDP协议；</t>
    <phoneticPr fontId="1" type="noConversion"/>
  </si>
  <si>
    <t>交换容量≥760Gbps，包转发率≥220Mpps(官网彩页若标注为 A/B值，以A/B值中小值为准)；千兆RJ45铜缆接口≥48个；10G SFP+光纤接口≥6个；整机POE输出功率 ≥370W；支持虚拟机箱，最大可扩展单元≥8台；MAC地址表≥32K；支持业界标准协议Sflow（RFC 3176）的流量采样分析；支持端口、MAC和IEEE 802.1Q（VLAN）；支持IPv4和IPv6特性，支持RIP、OSPF三层路由；支持冗余操作系统及配置回退；支持多种管理手段：包括命令行(CLI)、SNMP、Web和网管平台，现配支持UDLD、LLDP协议；</t>
    <phoneticPr fontId="1" type="noConversion"/>
  </si>
  <si>
    <t>交换容量≥760Gbps，包转发率≥120Mpps(官网彩页若标注为 A/B值，以A/B值中小值为准)；千兆RJ45铜缆接口≥24个；10G SFP+光纤接口≥4个；整机POE输出功率 ≥370W；支持虚拟机箱，最大可扩展单元≥8台；MAC地址表≥32K；支持业界标准协议Sflow（RFC 3176）的流量采样分析；支持端口、MAC和IEEE 802.1Q（VLAN）；支持IPv4和IPv6特性，支持RIP、OSPF三层路由；支持冗余操作系统及配置回退；支持多种管理手段：包括命令行(CLI)、SNMP、Web和网管平台，现配支持UDLD、LLDP协议；</t>
    <phoneticPr fontId="1" type="noConversion"/>
  </si>
  <si>
    <t>交换容量≥760Gbps，包转发率≥220Mpps(官网彩页若标注为 A/B值，以A/B值中小值为准)；千兆RJ45铜缆接口≥48个；10G SFP+光纤接口≥6个；整机POE输出功率 ≥740W；支持虚拟机箱，最大可扩展单元≥8台；MAC地址表≥32K；支持业界标准协议Sflow（RFC 3176）的流量采样分析；支持端口、MAC和IEEE 802.1Q（VLAN）；支持IPv4和IPv6特性，支持RIP、OSPF三层路由；支持冗余操作系统及配置回退；支持多种管理手段：包括命令行(CLI)、SNMP、Web和网管平台，现配支持UDLD、LLDP协议；</t>
    <phoneticPr fontId="1" type="noConversion"/>
  </si>
  <si>
    <t>交换容量≥1.5Tbps，包转发率≥180Mpps(官网彩页若标注为 A/B值，以A/B值中小值为准)；1G SFP光纤接口≥24个，10G SFP+光纤接口≥6个；支持虚拟机箱，最大可扩展单元≥8台；MAC地址表≥32K；支持业界标准协议Sflow（RFC 3176）的流量采样分析；支持端口、MAC和IEEE 802.1Q（VLAN）；支持IPv4和IPv6特性，支持RIP、OSPF三层路由；支持冗余操作系统及配置回退；支持多种管理手段：包括命令行(CLI)、SNMP、Web和网管平台，现配支持UDLD、LLDP协议；</t>
    <phoneticPr fontId="1" type="noConversion"/>
  </si>
  <si>
    <t>交换容量≥1.5Tbps，包转发率≥220Mpps(官网彩页若标注为 A/B值，以A/B值中小值为准)；1G SFP光纤接口≥48个，10G SFP+光纤接口≥6个；支持虚拟机箱，最大可扩展单元≥8台；MAC地址表≥32K；支持业界标准协议Sflow（RFC 3176）的流量采样分析；支持端口、MAC和IEEE 802.1Q（VLAN）；支持IPv4和IPv6特性，支持RIP、OSPF三层路由；支持冗余操作系统及配置回退；支持多种管理手段：包括命令行(CLI)、SNMP、Web和网管平台，现配支持UDLD、LLDP协议；</t>
    <phoneticPr fontId="1" type="noConversion"/>
  </si>
  <si>
    <t>交换容量≥2.5Tbps，包转发率≥180Mpps(官网彩页若标注为 A/B值，以A/B值中小值为准)；2.5/1G 多速率铜缆接口≥24个，10/5/2.5/1G 多速率铜缆接口≥2个；10G SFP+光纤接口≥2个；实配模块化冗余交流电源≥X个；整机POE输出功率 ≥1400W；支持虚拟机箱，最大可扩展单元≥8台；MAC地址表≥32K；支持业界标准协议Sflow（RFC 3176）的流量采样分析；支持端口、MAC和IEEE 802.1Q（VLAN）；支持IPv4和IPv6特性，支持RIP、OSPF三层路由；支持冗余操作系统及配置回退；支持多种管理手段：包括命令行(CLI)、SNMP、Web和网管平台，现配支持UDLD、LLDP协议；</t>
    <phoneticPr fontId="1" type="noConversion"/>
  </si>
  <si>
    <t>交换容量≥760Gbps，包转发率≥100Mpps(官网彩页若标注为 A/B值，以A/B值中小值为准)；千兆RJ45铜缆接口≥8个，10G SFP+光纤接口≥4个；MAC地址表≥16K；支持业界标准协议Sflow（RFC 3176）的流量采样分析；支持端口、MAC和IEEE 802.1Q（VLAN）；支持IPv4和IPv6静态路由；；支持冗余操作系统及配置回退；支持ITU-T G.8032/Y.1344以太环网保护协议；支持冗余操作系统及配置回退；支持多种管理手段：包括命令行(CLI)、SNMP、Web和网管平台，现配支持UDLD、LLDP协议；</t>
    <phoneticPr fontId="1" type="noConversion"/>
  </si>
  <si>
    <t>交换容量≥760Gbps，包转发率≥100Mpps；千兆RJ45铜缆接口≥8个，10G SFP+光纤接口≥4个；整机POE输出功率 ≥75W；MAC地址表≥16K；支持业界标准协议Sflow（RFC 3176）的流量采样分析；支持端口、MAC和IEEE 802.1Q（VLAN）；支持IPv4和IPv6静态路由；支持冗余操作系统及配置回退；支持ITU-T G.8032/Y.1344以太环网保护协议；支持冗余操作系统及配置回退；支持多种管理手段：包括命令行(CLI)、SNMP、Web和网管平台，现配支持UDLD、LLDP协议；</t>
    <phoneticPr fontId="1" type="noConversion"/>
  </si>
  <si>
    <t>交换容量≥760Gbps，包转发率≥120Mpps(官网彩页若标注为 A/B值，以A/B值中小值为准)；千兆RJ45铜缆接口≥24个，1G SFP光纤接口≥4个，最大可扩展10G SFP+光纤接口≥4个，MAC地址表≥16K；支持业界标准协议Sflow（RFC 3176）的流量采样分析；支持端口、MAC和IEEE 802.1Q（VLAN）；支持IPv4和IPv6静态路由；支持冗余操作系统及配置回退；支持多种管理手段：包括命令行(CLI)、SNMP、Web和网管平台，现配支持UDLD、LLDP协议；</t>
    <phoneticPr fontId="1" type="noConversion"/>
  </si>
  <si>
    <t>交换容量≥760Gbps，包转发率≥220Mpps(官网彩页若标注为 A/B值，以A/B值中小值为准)；千兆RJ45铜缆接口≥48个，1G SFP光纤接口≥6个，最大可扩展10G SFP+光纤接口≥6个，MAC地址表≥16K；支持业界标准协议Sflow（RFC 3176）的流量采样分析；支持端口、MAC和IEEE 802.1Q（VLAN）；支持IPv4和IPv6静态路由；支持冗余操作系统及配置回退；支持多种管理手段：包括命令行(CLI)、SNMP、Web和网管平台，现配支持UDLD、LLDP协议；</t>
    <phoneticPr fontId="1" type="noConversion"/>
  </si>
  <si>
    <t>交换容量≥760Gbps，包转发率≥120Mpps(官网彩页若标注为 A/B值，以A/B值中小值为准)；千兆RJ45铜缆接口≥24个，1G SFP光纤接口≥2个，10G SFP+光纤接口≥2个，最大可扩展10G SFP+光纤接口≥4个；整机POE输出功率 ≥370W；MAC地址表≥16K；支持业界标准协议Sflow（RFC 3176）的流量采样分析；支持端口、MAC和IEEE 802.1Q（VLAN）；支持IPv4和IPv6静态路由；支持冗余操作系统及配置回退；支持多种管理手段：包括命令行(CLI)、SNMP、Web和网管平台，现配支持UDLD、LLDP协议；</t>
    <phoneticPr fontId="1" type="noConversion"/>
  </si>
  <si>
    <t>交换容量≥760Gbps，包转发率≥220Mpps(官网彩页若标注为 A/B值，以A/B值中小值为准)；千兆RJ45铜缆接口≥48个，1G SFP光纤接口≥4个，10G SFP+光纤接口≥2个，最大可扩展10G SFP+光纤接口≥6个；整机POE输出功率 ≥740W；MAC地址表≥16K；支持业界标准协议Sflow（RFC 3176）的流量采样分析；支持端口、MAC和IEEE 802.1Q（VLAN）；支持IPv4和IPv6静态路由；支持冗余操作系统及配置回退；支持多种管理手段：包括命令行(CLI)、SNMP、Web和网管平台，现配支持UDLD、LLDP协议；</t>
    <phoneticPr fontId="1" type="noConversion"/>
  </si>
  <si>
    <t>OAW-AP1261-RW</t>
    <phoneticPr fontId="1" type="noConversion"/>
  </si>
  <si>
    <t>内置天线室外型AP，支持802.11ac Wave 2标准，整机双频四空间流，最大并发数据传输速率≥1.15Gbps；1个GE接口；AP内置AC，最大可管理250台AP；支持非法AP定位和控制、支持白名单/黑名单、负载均衡、零接触配置 (ZTP)、频段转向（5G优先）；支持无线IDS和IPS，支持非法AP检测/抑制，黑名单/白名单区分功能；支持NAT，支持DHCP SERVER，支持负载均衡，内置DPI应用识别，支持802.11k/v/r协议，内置portal认证，支持内建账号。</t>
    <phoneticPr fontId="1" type="noConversion"/>
  </si>
  <si>
    <t>增加国产化交换机OS2960/OS2560/OS2160,1301W，1511，1521，1261 AP参数，OAW-6110参数，删除停产AP1201/1201H/1251以及OS2260-P24/P48的参数</t>
    <phoneticPr fontId="1" type="noConversion"/>
  </si>
  <si>
    <t>修订OS6570M系列参数，增加OS6870系列参数</t>
    <phoneticPr fontId="1" type="noConversion"/>
  </si>
  <si>
    <t>交换容量≥2.5Tbps，包转发率≥120Mpps(官网彩页若标注为 A/B值，以A/B值中小值为准)；实配≥20个千兆SFP光纤接口；≥4个千兆SFP/RJ45 Combo接口；≥4个千兆SFP光纤接口；≥2个10G SFP+光纤接口；最大可扩展万兆SFP+光纤接口≥6；实配模块化热插拔交流电源≥X个；支持N:1虚拟化并实配许可；支持IEEE 802.1aq SPB协议；支持RFC 3176 Sflow流量采样协议；支持ITU-T G.8032/Y.1344以太环网保护协议；内置IoT设备指纹特征库，支持对常见的打印机、IP摄像头、电脑、智能终端自动识别后进行资产分类和安全管控策略；支持UDLD、LLDP协议；支持冗余操作系统和配置回退。</t>
    <phoneticPr fontId="1" type="noConversion"/>
  </si>
  <si>
    <t>正交CLOS架构，独立主控、交换网板、业务槽位物理分离；整机槽位数≥12个，独立交换网板槽位数≥4个；最大可热插拔交流电源≥4个；交换容量≥900Tbps，包转发率≥470000Mpps(官网彩页若标注为 A/B值,以A/B值中小值为准)；支持N:1虚拟化并实配许可；支持千兆GE/SFP板卡；支持10G/5G/2.5G/1G多速率板卡；支持40G/100G光口板卡；支持POE和HPOE板卡；支持IEEE 802.1aq SPB协议；支持RFC 3176 Sflow流量采样协议；支持ITU-T G.8032/Y.1344以太环网保护协议；支持802.1AE MACsec协议；内置IoT设备指纹特征库，支持对常见的打印机、IP摄像头、电脑、智能终端自动识别后进行资产分类和安全管控策略；支持冗余操作系统及配置回退；本次实配独立主控≥X块，独立交换网板≥X块，模块化电源模块≥X块；千兆GE电接口≥X个；千兆SFP光接口≥X个，万兆SFP+光口≥X个，QSFP+ 40G光接口≥X个，QSFP28 100G光接口≥X个，40G/100G虚拟化线缆≥X条；</t>
    <phoneticPr fontId="1" type="noConversion"/>
  </si>
  <si>
    <t>正交CLOS架构，独立主控、交换网板、业务槽位物理分离；整机槽位数≥7个，独立交换网板槽位数≥4个；最大可热插拔交流电源≥4个；交换容量≥500Tbps，包转发率≥250000Mpps(官网彩页若标注为 A/B值,以A/B值中小值为准)；支持N:1虚拟化并实配许可；支持千兆GE/SFP板卡；支持10G/5G/2.5G/1G多速率板卡；支持40G/100G光口板卡；支持POE和HPOE板卡；支持IEEE 802.1aq SPB协议；支持RFC 3176 Sflow流量采样协议；支持ITU-T G.8032/Y.1344以太环网保护协议；支持802.1AE MACsec协议；内置IoT设备指纹特征库，支持对常见的打印机、IP摄像头、电脑、智能终端自动识别后进行资产分类和安全管控策略；支持冗余操作系统及配置回退；本次实配独立主控≥X块，独立交换网板≥X块，模块化电源模块≥X块；千兆GE电接口≥X个；千兆SFP光接口≥X个，万兆SFP+光口≥X个，QSFP+ 40G光接口≥X个，QSFP28 100G光接口≥X个，40G/100G虚拟化线缆≥X条；</t>
    <phoneticPr fontId="1" type="noConversion"/>
  </si>
  <si>
    <t>OS6870-24</t>
    <phoneticPr fontId="1" type="noConversion"/>
  </si>
  <si>
    <t>OS6870-48</t>
    <phoneticPr fontId="1" type="noConversion"/>
  </si>
  <si>
    <t>OS6870-V12</t>
    <phoneticPr fontId="1" type="noConversion"/>
  </si>
  <si>
    <t>V1.4</t>
    <phoneticPr fontId="1" type="noConversion"/>
  </si>
  <si>
    <t>交换容量≥5Tbps，包转发率≥480Mpps(官网彩页若标注为 A/B值，以A/B值中小值为准)；实配≥24个1G base-T电接口；≥4个1/10/25G SFP28光纤接口；≥2个40/100G QSFP28上行链路或者VFL端口；≥1个EMP（带外管理）RJ45接口；实配模块化热插拔交流电源≥X个；支持N:1虚拟化并实配许可（N≥8）；支持SDN/OPENFLOW 1.3.1/1.0标准；支持IEEE 802.1aq SPB协议；支持RFC 7843 VXLAN协议；支持RFC 3176 Sflow流量采样协议；支持ITU-T G.8032/Y.1344以太环网保护协议；支持应用程序监控和执行 ；支持802.1AE MACsec协议；内置IoT设备指纹特征库，支持对常见的打印机、IP摄像头、电脑、智能终端自动识别后进行资产分类和安全管控策略；支持冗余操作系统和配置回退。</t>
    <phoneticPr fontId="1" type="noConversion"/>
  </si>
  <si>
    <t>交换容量≥5Tbps，包转发率≥500Mpps(官网彩页若标注为 A/B值，以A/B值中小值为准)；实配≥48个1G base-T电接口；≥4个1/10/25G SFP28光纤接口；≥2个40/100G QSFP28上行链路或者VFL端口；≥1个EMP（带外管理）RJ45接口；实配模块化热插拔交流电源≥X个；支持N:1虚拟化并实配许可（N≥8）；支持SDN/OPENFLOW 1.3.1/1.0标准；支持IEEE 802.1aq SPB协议；支持RFC 7843 VXLAN协议；支持RFC 3176 Sflow流量采样协议；支持ITU-T G.8032/Y.1344以太环网保护协议；支持应用程序监控和执行 ；支持802.1AE MACsec协议；内置IoT设备指纹特征库，支持对常见的打印机、IP摄像头、电脑、智能终端自动识别后进行资产分类和安全管控策略；支持冗余操作系统和配置回退。</t>
    <phoneticPr fontId="1" type="noConversion"/>
  </si>
  <si>
    <t>交换容量≥5Tbps，包转发率≥1400Mpps(官网彩页若标注为 A/B值，以A/B值中小值为准)；实配 ≥12个1/10/25G SFP28光纤接口；≥2个100/200G QSFP56上行链路或者VFL端口；≥1上行链路扩展插槽（支持扩展6x1/10/25/50G SFP56端口或者2x40/100G QSFP28端口）；≥1个EMP（带外管理）RJ45接口；实配模块化热插拔交流电源≥X个；支持N:1虚拟化并实配许可（N≥8）；支持SDN/OPENFLOW 1.3.1/1.0标准；支持IEEE 802.1aq SPB协议；支持RFC 7843 VXLAN协议；支持RFC 3176 Sflow流量采样协议；支持ITU-T G.8032/Y.1344以太环网保护协议；支持应用程序监控和执行 ；支持802.1AE MACsec协议；内置IoT设备指纹特征库，支持对常见的打印机、IP摄像头、电脑、智能终端自动识别后进行资产分类和安全管控策略；支持冗余操作系统和配置回退。</t>
    <phoneticPr fontId="1" type="noConversion"/>
  </si>
  <si>
    <t>New</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</si>
</sst>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scheme val="minor"/>
    </font>
    <font>
      <sz val="9"/>
      <name val="等线"/>
      <family val="3"/>
      <charset val="134"/>
      <scheme val="minor"/>
    </font>
    <font>
      <sz val="10"/>
      <color theme="1"/>
      <name val="Trebuchet MS"/>
      <family val="2"/>
    </font>
    <font>
      <sz val="10"/>
      <color theme="1"/>
      <name val="等线"/>
      <family val="2"/>
      <scheme val="minor"/>
    </font>
    <font>
      <sz val="10"/>
      <color theme="1"/>
      <name val="黑体"/>
      <family val="3"/>
      <charset val="134"/>
    </font>
    <font>
      <sz val="10"/>
      <color theme="1"/>
      <name val="Univers"/>
      <family val="2"/>
    </font>
    <font>
      <sz val="10"/>
      <color theme="1"/>
      <name val="仿宋"/>
      <family val="3"/>
      <charset val="134"/>
    </font>
    <font>
      <sz val="10"/>
      <color rgb="FFFF0000"/>
      <name val="仿宋"/>
      <family val="3"/>
      <charset val="134"/>
    </font>
    <font>
      <sz val="11"/>
      <color theme="1"/>
      <name val="仿宋"/>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0" fillId="0" borderId="0" xfId="0" applyAlignment="1">
      <alignment horizontal="center"/>
    </xf>
    <xf numFmtId="0" fontId="2" fillId="0" borderId="1" xfId="0" applyFont="1" applyBorder="1" applyAlignment="1">
      <alignment horizontal="center"/>
    </xf>
    <xf numFmtId="0" fontId="3" fillId="0" borderId="0" xfId="0" applyFont="1"/>
    <xf numFmtId="0" fontId="3" fillId="0" borderId="0" xfId="0" applyFont="1" applyAlignment="1">
      <alignment horizontal="center"/>
    </xf>
    <xf numFmtId="0" fontId="3" fillId="0" borderId="0" xfId="0" applyFont="1" applyAlignment="1">
      <alignment horizontal="left"/>
    </xf>
    <xf numFmtId="0" fontId="2" fillId="0" borderId="0" xfId="0" applyFont="1"/>
    <xf numFmtId="0" fontId="2" fillId="0" borderId="0" xfId="0" applyFont="1" applyAlignment="1">
      <alignment horizontal="center"/>
    </xf>
    <xf numFmtId="0" fontId="5" fillId="0" borderId="1" xfId="0" applyFont="1" applyBorder="1" applyAlignment="1">
      <alignment horizontal="center" vertical="center"/>
    </xf>
    <xf numFmtId="0" fontId="6" fillId="0" borderId="1" xfId="0" applyFont="1" applyBorder="1" applyAlignment="1">
      <alignment horizontal="left" wrapText="1"/>
    </xf>
    <xf numFmtId="0" fontId="6" fillId="0" borderId="1" xfId="0" applyFont="1" applyBorder="1" applyAlignment="1">
      <alignment vertical="center" wrapText="1"/>
    </xf>
    <xf numFmtId="0" fontId="5" fillId="0" borderId="0" xfId="0" applyFont="1"/>
    <xf numFmtId="0" fontId="5" fillId="0" borderId="0" xfId="0" applyFont="1" applyAlignment="1">
      <alignment horizontal="center"/>
    </xf>
    <xf numFmtId="0" fontId="5" fillId="0" borderId="0" xfId="0" applyFont="1" applyAlignment="1">
      <alignment horizontal="left"/>
    </xf>
    <xf numFmtId="0" fontId="8" fillId="0" borderId="1" xfId="0" applyFont="1" applyBorder="1" applyAlignment="1">
      <alignment horizontal="center"/>
    </xf>
    <xf numFmtId="0" fontId="8" fillId="0" borderId="0" xfId="0" applyFont="1"/>
    <xf numFmtId="14" fontId="8" fillId="0" borderId="1" xfId="0" applyNumberFormat="1" applyFont="1" applyBorder="1" applyAlignment="1">
      <alignment horizontal="center"/>
    </xf>
    <xf numFmtId="0" fontId="8" fillId="0" borderId="1" xfId="0" applyFont="1" applyBorder="1" applyAlignment="1">
      <alignment horizontal="left"/>
    </xf>
    <xf numFmtId="0" fontId="8" fillId="0" borderId="1" xfId="0" applyFont="1" applyBorder="1"/>
    <xf numFmtId="0" fontId="8" fillId="0" borderId="1" xfId="0" applyFont="1" applyBorder="1" applyAlignment="1">
      <alignment horizontal="center" vertical="center"/>
    </xf>
    <xf numFmtId="0" fontId="8" fillId="0" borderId="1" xfId="0" applyFont="1" applyBorder="1" applyAlignment="1">
      <alignment wrapText="1"/>
    </xf>
    <xf numFmtId="14" fontId="8" fillId="0" borderId="1" xfId="0" applyNumberFormat="1" applyFont="1" applyBorder="1" applyAlignment="1">
      <alignment horizontal="center" vertical="center"/>
    </xf>
    <xf numFmtId="0" fontId="8" fillId="0" borderId="0" xfId="0" applyFont="1" applyAlignment="1">
      <alignment horizont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0" xfId="0" applyFont="1"/>
    <xf numFmtId="0" fontId="6" fillId="0" borderId="0" xfId="0" applyFont="1" applyAlignment="1">
      <alignment horizontal="center"/>
    </xf>
    <xf numFmtId="0" fontId="6" fillId="0" borderId="1" xfId="0" applyFont="1" applyBorder="1" applyAlignment="1">
      <alignment horizontal="center"/>
    </xf>
    <xf numFmtId="49" fontId="6" fillId="0" borderId="1" xfId="0" applyNumberFormat="1" applyFont="1" applyBorder="1" applyAlignment="1">
      <alignment horizontal="justify" vertical="top" wrapText="1" readingOrder="1"/>
    </xf>
    <xf numFmtId="0" fontId="7" fillId="0" borderId="1" xfId="0" applyFont="1" applyBorder="1" applyAlignment="1">
      <alignment horizontal="center" vertical="center"/>
    </xf>
    <xf numFmtId="0" fontId="6" fillId="0" borderId="1" xfId="0" applyFont="1" applyBorder="1" applyAlignment="1">
      <alignment wrapText="1"/>
    </xf>
    <xf numFmtId="0" fontId="6" fillId="0" borderId="1" xfId="0" applyFont="1" applyBorder="1"/>
    <xf numFmtId="0" fontId="6" fillId="0" borderId="1" xfId="0" applyFont="1" applyBorder="1" applyAlignment="1">
      <alignment horizontal="left" vertical="center" wrapText="1"/>
    </xf>
    <xf numFmtId="0" fontId="5" fillId="0" borderId="0" xfId="0" applyFont="1" applyAlignment="1">
      <alignment horizontal="center" vertical="center"/>
    </xf>
    <xf numFmtId="0" fontId="7" fillId="0" borderId="1"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8923E-B9F2-42F8-8717-50C0995A4FC6}">
  <dimension ref="B2:E12"/>
  <sheetViews>
    <sheetView workbookViewId="0">
      <selection activeCell="C21" sqref="C21"/>
    </sheetView>
  </sheetViews>
  <sheetFormatPr defaultColWidth="8.625" defaultRowHeight="13.5" x14ac:dyDescent="0.15"/>
  <cols>
    <col min="1" max="1" width="8.625" style="15"/>
    <col min="2" max="2" width="8.625" style="22"/>
    <col min="3" max="3" width="91.75" style="15" customWidth="1"/>
    <col min="4" max="4" width="8.625" style="22"/>
    <col min="5" max="5" width="11.25" style="22" bestFit="1" customWidth="1"/>
    <col min="6" max="16384" width="8.625" style="15"/>
  </cols>
  <sheetData>
    <row r="2" spans="2:5" x14ac:dyDescent="0.15">
      <c r="B2" s="14" t="s">
        <v>78</v>
      </c>
      <c r="C2" s="14" t="s">
        <v>79</v>
      </c>
      <c r="D2" s="14" t="s">
        <v>80</v>
      </c>
      <c r="E2" s="14" t="s">
        <v>81</v>
      </c>
    </row>
    <row r="3" spans="2:5" x14ac:dyDescent="0.15">
      <c r="B3" s="14" t="s">
        <v>53</v>
      </c>
      <c r="C3" s="14" t="s">
        <v>82</v>
      </c>
      <c r="D3" s="14" t="s">
        <v>55</v>
      </c>
      <c r="E3" s="16">
        <v>45230</v>
      </c>
    </row>
    <row r="4" spans="2:5" x14ac:dyDescent="0.15">
      <c r="B4" s="14" t="s">
        <v>54</v>
      </c>
      <c r="C4" s="17" t="s">
        <v>83</v>
      </c>
      <c r="D4" s="14" t="s">
        <v>55</v>
      </c>
      <c r="E4" s="16">
        <v>45233</v>
      </c>
    </row>
    <row r="5" spans="2:5" x14ac:dyDescent="0.15">
      <c r="B5" s="14" t="s">
        <v>56</v>
      </c>
      <c r="C5" s="18" t="s">
        <v>84</v>
      </c>
      <c r="D5" s="14" t="s">
        <v>55</v>
      </c>
      <c r="E5" s="16">
        <v>45294</v>
      </c>
    </row>
    <row r="6" spans="2:5" ht="27" x14ac:dyDescent="0.15">
      <c r="B6" s="19" t="s">
        <v>62</v>
      </c>
      <c r="C6" s="20" t="s">
        <v>169</v>
      </c>
      <c r="D6" s="19" t="s">
        <v>55</v>
      </c>
      <c r="E6" s="21">
        <v>45650</v>
      </c>
    </row>
    <row r="7" spans="2:5" x14ac:dyDescent="0.15">
      <c r="B7" s="14" t="s">
        <v>177</v>
      </c>
      <c r="C7" s="18" t="s">
        <v>170</v>
      </c>
      <c r="D7" s="14" t="s">
        <v>55</v>
      </c>
      <c r="E7" s="16">
        <v>45832</v>
      </c>
    </row>
    <row r="8" spans="2:5" x14ac:dyDescent="0.15">
      <c r="B8" s="14"/>
      <c r="C8" s="18"/>
      <c r="D8" s="14"/>
      <c r="E8" s="14"/>
    </row>
    <row r="9" spans="2:5" x14ac:dyDescent="0.15">
      <c r="B9" s="14"/>
      <c r="C9" s="18"/>
      <c r="D9" s="14"/>
      <c r="E9" s="14"/>
    </row>
    <row r="10" spans="2:5" x14ac:dyDescent="0.15">
      <c r="B10" s="14"/>
      <c r="C10" s="18"/>
      <c r="D10" s="14"/>
      <c r="E10" s="14"/>
    </row>
    <row r="11" spans="2:5" x14ac:dyDescent="0.15">
      <c r="B11" s="14"/>
      <c r="C11" s="18"/>
      <c r="D11" s="14"/>
      <c r="E11" s="14"/>
    </row>
    <row r="12" spans="2:5" x14ac:dyDescent="0.15">
      <c r="B12" s="14"/>
      <c r="C12" s="18"/>
      <c r="D12" s="14"/>
      <c r="E12" s="14"/>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29F76-D38F-40AB-82FE-8F20B6333A99}">
  <dimension ref="A1:D24"/>
  <sheetViews>
    <sheetView zoomScale="145" zoomScaleNormal="145" workbookViewId="0">
      <selection activeCell="D5" sqref="D5"/>
    </sheetView>
  </sheetViews>
  <sheetFormatPr defaultColWidth="8.625" defaultRowHeight="12.75" x14ac:dyDescent="0.2"/>
  <cols>
    <col min="1" max="1" width="8.625" style="12"/>
    <col min="2" max="2" width="17.375" style="12" customWidth="1"/>
    <col min="3" max="3" width="79.25" style="13" customWidth="1"/>
    <col min="4" max="4" width="15.125" style="12" customWidth="1"/>
    <col min="5" max="16384" width="8.625" style="11"/>
  </cols>
  <sheetData>
    <row r="1" spans="1:4" x14ac:dyDescent="0.2">
      <c r="A1" s="27" t="s">
        <v>85</v>
      </c>
      <c r="B1" s="27" t="s">
        <v>86</v>
      </c>
      <c r="C1" s="27" t="s">
        <v>87</v>
      </c>
      <c r="D1" s="27" t="s">
        <v>88</v>
      </c>
    </row>
    <row r="2" spans="1:4" ht="60" x14ac:dyDescent="0.2">
      <c r="A2" s="23">
        <f>ROW()-1</f>
        <v>1</v>
      </c>
      <c r="B2" s="23" t="s">
        <v>64</v>
      </c>
      <c r="C2" s="10" t="s">
        <v>138</v>
      </c>
      <c r="D2" s="29"/>
    </row>
    <row r="3" spans="1:4" ht="72" x14ac:dyDescent="0.2">
      <c r="A3" s="23">
        <f t="shared" ref="A3:A24" si="0">ROW()-1</f>
        <v>2</v>
      </c>
      <c r="B3" s="23" t="s">
        <v>0</v>
      </c>
      <c r="C3" s="10" t="s">
        <v>91</v>
      </c>
      <c r="D3" s="27"/>
    </row>
    <row r="4" spans="1:4" ht="72" x14ac:dyDescent="0.2">
      <c r="A4" s="23">
        <f t="shared" si="0"/>
        <v>3</v>
      </c>
      <c r="B4" s="23" t="s">
        <v>1</v>
      </c>
      <c r="C4" s="28" t="s">
        <v>92</v>
      </c>
      <c r="D4" s="27"/>
    </row>
    <row r="5" spans="1:4" ht="84" x14ac:dyDescent="0.2">
      <c r="A5" s="23">
        <f t="shared" si="0"/>
        <v>4</v>
      </c>
      <c r="B5" s="23" t="s">
        <v>2</v>
      </c>
      <c r="C5" s="10" t="s">
        <v>93</v>
      </c>
      <c r="D5" s="27"/>
    </row>
    <row r="6" spans="1:4" ht="84" x14ac:dyDescent="0.2">
      <c r="A6" s="23">
        <f t="shared" si="0"/>
        <v>5</v>
      </c>
      <c r="B6" s="23" t="s">
        <v>3</v>
      </c>
      <c r="C6" s="10" t="s">
        <v>94</v>
      </c>
      <c r="D6" s="27"/>
    </row>
    <row r="7" spans="1:4" ht="84" x14ac:dyDescent="0.2">
      <c r="A7" s="23">
        <f t="shared" si="0"/>
        <v>6</v>
      </c>
      <c r="B7" s="23" t="s">
        <v>4</v>
      </c>
      <c r="C7" s="10" t="s">
        <v>95</v>
      </c>
      <c r="D7" s="27"/>
    </row>
    <row r="8" spans="1:4" ht="84" x14ac:dyDescent="0.2">
      <c r="A8" s="23">
        <f t="shared" si="0"/>
        <v>7</v>
      </c>
      <c r="B8" s="23" t="s">
        <v>5</v>
      </c>
      <c r="C8" s="10" t="s">
        <v>96</v>
      </c>
      <c r="D8" s="27"/>
    </row>
    <row r="9" spans="1:4" ht="72" x14ac:dyDescent="0.2">
      <c r="A9" s="23">
        <f t="shared" si="0"/>
        <v>8</v>
      </c>
      <c r="B9" s="23" t="s">
        <v>6</v>
      </c>
      <c r="C9" s="10" t="s">
        <v>97</v>
      </c>
      <c r="D9" s="27"/>
    </row>
    <row r="10" spans="1:4" ht="84" x14ac:dyDescent="0.2">
      <c r="A10" s="23">
        <f t="shared" si="0"/>
        <v>9</v>
      </c>
      <c r="B10" s="23" t="s">
        <v>9</v>
      </c>
      <c r="C10" s="10" t="s">
        <v>98</v>
      </c>
      <c r="D10" s="27"/>
    </row>
    <row r="11" spans="1:4" ht="84" x14ac:dyDescent="0.2">
      <c r="A11" s="23">
        <f t="shared" si="0"/>
        <v>10</v>
      </c>
      <c r="B11" s="23" t="s">
        <v>7</v>
      </c>
      <c r="C11" s="10" t="s">
        <v>99</v>
      </c>
      <c r="D11" s="27"/>
    </row>
    <row r="12" spans="1:4" ht="84" x14ac:dyDescent="0.2">
      <c r="A12" s="23">
        <f t="shared" si="0"/>
        <v>11</v>
      </c>
      <c r="B12" s="23" t="s">
        <v>8</v>
      </c>
      <c r="C12" s="10" t="s">
        <v>100</v>
      </c>
      <c r="D12" s="27"/>
    </row>
    <row r="13" spans="1:4" ht="84" x14ac:dyDescent="0.2">
      <c r="A13" s="23">
        <f t="shared" si="0"/>
        <v>12</v>
      </c>
      <c r="B13" s="23" t="s">
        <v>17</v>
      </c>
      <c r="C13" s="10" t="s">
        <v>101</v>
      </c>
      <c r="D13" s="27"/>
    </row>
    <row r="14" spans="1:4" ht="84" x14ac:dyDescent="0.2">
      <c r="A14" s="23">
        <f t="shared" si="0"/>
        <v>13</v>
      </c>
      <c r="B14" s="23" t="s">
        <v>10</v>
      </c>
      <c r="C14" s="10" t="s">
        <v>102</v>
      </c>
      <c r="D14" s="34" t="s">
        <v>103</v>
      </c>
    </row>
    <row r="15" spans="1:4" ht="72" x14ac:dyDescent="0.2">
      <c r="A15" s="23">
        <f t="shared" si="0"/>
        <v>14</v>
      </c>
      <c r="B15" s="23" t="s">
        <v>11</v>
      </c>
      <c r="C15" s="10" t="s">
        <v>104</v>
      </c>
      <c r="D15" s="34" t="s">
        <v>103</v>
      </c>
    </row>
    <row r="16" spans="1:4" ht="84" x14ac:dyDescent="0.2">
      <c r="A16" s="23">
        <f t="shared" si="0"/>
        <v>15</v>
      </c>
      <c r="B16" s="23" t="s">
        <v>12</v>
      </c>
      <c r="C16" s="10" t="s">
        <v>105</v>
      </c>
      <c r="D16" s="27"/>
    </row>
    <row r="17" spans="1:4" ht="72" x14ac:dyDescent="0.2">
      <c r="A17" s="23">
        <f t="shared" si="0"/>
        <v>16</v>
      </c>
      <c r="B17" s="23" t="s">
        <v>124</v>
      </c>
      <c r="C17" s="10" t="s">
        <v>139</v>
      </c>
      <c r="D17" s="29"/>
    </row>
    <row r="18" spans="1:4" ht="84" x14ac:dyDescent="0.2">
      <c r="A18" s="23">
        <f t="shared" si="0"/>
        <v>17</v>
      </c>
      <c r="B18" s="23" t="s">
        <v>125</v>
      </c>
      <c r="C18" s="10" t="s">
        <v>140</v>
      </c>
      <c r="D18" s="29"/>
    </row>
    <row r="19" spans="1:4" ht="60" x14ac:dyDescent="0.2">
      <c r="A19" s="23">
        <f t="shared" si="0"/>
        <v>18</v>
      </c>
      <c r="B19" s="23" t="s">
        <v>13</v>
      </c>
      <c r="C19" s="10" t="s">
        <v>106</v>
      </c>
      <c r="D19" s="27"/>
    </row>
    <row r="20" spans="1:4" ht="86.1" customHeight="1" x14ac:dyDescent="0.2">
      <c r="A20" s="23">
        <f t="shared" si="0"/>
        <v>19</v>
      </c>
      <c r="B20" s="23" t="s">
        <v>14</v>
      </c>
      <c r="C20" s="30" t="s">
        <v>107</v>
      </c>
      <c r="D20" s="27"/>
    </row>
    <row r="21" spans="1:4" ht="72.75" x14ac:dyDescent="0.2">
      <c r="A21" s="23">
        <f t="shared" si="0"/>
        <v>20</v>
      </c>
      <c r="B21" s="23" t="s">
        <v>15</v>
      </c>
      <c r="C21" s="9" t="s">
        <v>108</v>
      </c>
      <c r="D21" s="27"/>
    </row>
    <row r="22" spans="1:4" ht="72.75" x14ac:dyDescent="0.2">
      <c r="A22" s="23">
        <f t="shared" si="0"/>
        <v>21</v>
      </c>
      <c r="B22" s="23" t="s">
        <v>16</v>
      </c>
      <c r="C22" s="9" t="s">
        <v>109</v>
      </c>
      <c r="D22" s="27"/>
    </row>
    <row r="23" spans="1:4" ht="60.75" x14ac:dyDescent="0.2">
      <c r="A23" s="23">
        <f t="shared" si="0"/>
        <v>22</v>
      </c>
      <c r="B23" s="23" t="s">
        <v>167</v>
      </c>
      <c r="C23" s="9" t="s">
        <v>168</v>
      </c>
      <c r="D23" s="27"/>
    </row>
    <row r="24" spans="1:4" s="33" customFormat="1" ht="82.5" customHeight="1" x14ac:dyDescent="0.2">
      <c r="A24" s="23">
        <f t="shared" si="0"/>
        <v>23</v>
      </c>
      <c r="B24" s="23" t="s">
        <v>122</v>
      </c>
      <c r="C24" s="32" t="s">
        <v>123</v>
      </c>
      <c r="D24" s="8"/>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5"/>
  <sheetViews>
    <sheetView tabSelected="1" topLeftCell="A31" zoomScale="130" zoomScaleNormal="130" workbookViewId="0">
      <selection activeCell="F35" sqref="F35"/>
    </sheetView>
  </sheetViews>
  <sheetFormatPr defaultColWidth="8.625" defaultRowHeight="12" x14ac:dyDescent="0.15"/>
  <cols>
    <col min="1" max="1" width="8.625" style="26"/>
    <col min="2" max="2" width="14.375" style="26" customWidth="1"/>
    <col min="3" max="3" width="68.125" style="26" customWidth="1"/>
    <col min="4" max="4" width="20.75" style="25" customWidth="1"/>
    <col min="5" max="16384" width="8.625" style="25"/>
  </cols>
  <sheetData>
    <row r="1" spans="1:4" x14ac:dyDescent="0.15">
      <c r="A1" s="23" t="s">
        <v>85</v>
      </c>
      <c r="B1" s="23" t="s">
        <v>86</v>
      </c>
      <c r="C1" s="24" t="s">
        <v>87</v>
      </c>
      <c r="D1" s="23" t="s">
        <v>88</v>
      </c>
    </row>
    <row r="2" spans="1:4" ht="132" x14ac:dyDescent="0.15">
      <c r="A2" s="23">
        <v>1</v>
      </c>
      <c r="B2" s="23" t="s">
        <v>22</v>
      </c>
      <c r="C2" s="10" t="s">
        <v>172</v>
      </c>
      <c r="D2" s="23"/>
    </row>
    <row r="3" spans="1:4" ht="150.94999999999999" customHeight="1" x14ac:dyDescent="0.15">
      <c r="A3" s="23">
        <v>2</v>
      </c>
      <c r="B3" s="23" t="s">
        <v>23</v>
      </c>
      <c r="C3" s="10" t="s">
        <v>173</v>
      </c>
      <c r="D3" s="23"/>
    </row>
    <row r="4" spans="1:4" ht="96" x14ac:dyDescent="0.15">
      <c r="A4" s="23">
        <v>3</v>
      </c>
      <c r="B4" s="23" t="s">
        <v>24</v>
      </c>
      <c r="C4" s="10" t="s">
        <v>89</v>
      </c>
      <c r="D4" s="23"/>
    </row>
    <row r="5" spans="1:4" ht="84" x14ac:dyDescent="0.15">
      <c r="A5" s="23">
        <v>4</v>
      </c>
      <c r="B5" s="23" t="s">
        <v>25</v>
      </c>
      <c r="C5" s="10" t="s">
        <v>90</v>
      </c>
      <c r="D5" s="23"/>
    </row>
    <row r="6" spans="1:4" ht="96" x14ac:dyDescent="0.15">
      <c r="A6" s="23">
        <v>5</v>
      </c>
      <c r="B6" s="23" t="s">
        <v>26</v>
      </c>
      <c r="C6" s="10" t="s">
        <v>142</v>
      </c>
      <c r="D6" s="23"/>
    </row>
    <row r="7" spans="1:4" ht="96" x14ac:dyDescent="0.15">
      <c r="A7" s="23">
        <v>6</v>
      </c>
      <c r="B7" s="23" t="s">
        <v>28</v>
      </c>
      <c r="C7" s="10" t="s">
        <v>143</v>
      </c>
      <c r="D7" s="23"/>
    </row>
    <row r="8" spans="1:4" ht="84" x14ac:dyDescent="0.15">
      <c r="A8" s="23">
        <v>7</v>
      </c>
      <c r="B8" s="23" t="s">
        <v>27</v>
      </c>
      <c r="C8" s="10" t="s">
        <v>144</v>
      </c>
      <c r="D8" s="23"/>
    </row>
    <row r="9" spans="1:4" ht="84" x14ac:dyDescent="0.15">
      <c r="A9" s="23">
        <v>8</v>
      </c>
      <c r="B9" s="23" t="s">
        <v>29</v>
      </c>
      <c r="C9" s="10" t="s">
        <v>145</v>
      </c>
      <c r="D9" s="23"/>
    </row>
    <row r="10" spans="1:4" ht="96" x14ac:dyDescent="0.15">
      <c r="A10" s="23">
        <v>9</v>
      </c>
      <c r="B10" s="23" t="s">
        <v>30</v>
      </c>
      <c r="C10" s="10" t="s">
        <v>146</v>
      </c>
      <c r="D10" s="23"/>
    </row>
    <row r="11" spans="1:4" ht="84" x14ac:dyDescent="0.15">
      <c r="A11" s="23">
        <v>10</v>
      </c>
      <c r="B11" s="23" t="s">
        <v>31</v>
      </c>
      <c r="C11" s="10" t="s">
        <v>147</v>
      </c>
      <c r="D11" s="23"/>
    </row>
    <row r="12" spans="1:4" ht="96" x14ac:dyDescent="0.15">
      <c r="A12" s="23">
        <v>11</v>
      </c>
      <c r="B12" s="23" t="s">
        <v>174</v>
      </c>
      <c r="C12" s="10" t="s">
        <v>178</v>
      </c>
      <c r="D12" s="29" t="s">
        <v>181</v>
      </c>
    </row>
    <row r="13" spans="1:4" ht="96" x14ac:dyDescent="0.15">
      <c r="A13" s="23">
        <v>12</v>
      </c>
      <c r="B13" s="23" t="s">
        <v>175</v>
      </c>
      <c r="C13" s="10" t="s">
        <v>179</v>
      </c>
      <c r="D13" s="29" t="s">
        <v>181</v>
      </c>
    </row>
    <row r="14" spans="1:4" ht="108" x14ac:dyDescent="0.15">
      <c r="A14" s="23">
        <v>13</v>
      </c>
      <c r="B14" s="23" t="s">
        <v>176</v>
      </c>
      <c r="C14" s="10" t="s">
        <v>180</v>
      </c>
      <c r="D14" s="29" t="s">
        <v>181</v>
      </c>
    </row>
    <row r="15" spans="1:4" ht="96" x14ac:dyDescent="0.15">
      <c r="A15" s="23">
        <v>14</v>
      </c>
      <c r="B15" s="23" t="s">
        <v>33</v>
      </c>
      <c r="C15" s="10" t="s">
        <v>148</v>
      </c>
      <c r="D15" s="23"/>
    </row>
    <row r="16" spans="1:4" ht="96" x14ac:dyDescent="0.15">
      <c r="A16" s="23">
        <v>15</v>
      </c>
      <c r="B16" s="23" t="s">
        <v>32</v>
      </c>
      <c r="C16" s="10" t="s">
        <v>149</v>
      </c>
      <c r="D16" s="23"/>
    </row>
    <row r="17" spans="1:4" ht="84" x14ac:dyDescent="0.15">
      <c r="A17" s="23">
        <v>16</v>
      </c>
      <c r="B17" s="23" t="s">
        <v>34</v>
      </c>
      <c r="C17" s="10" t="s">
        <v>171</v>
      </c>
      <c r="D17" s="23"/>
    </row>
    <row r="18" spans="1:4" ht="84" x14ac:dyDescent="0.15">
      <c r="A18" s="23">
        <v>17</v>
      </c>
      <c r="B18" s="23" t="s">
        <v>35</v>
      </c>
      <c r="C18" s="10" t="s">
        <v>150</v>
      </c>
      <c r="D18" s="23"/>
    </row>
    <row r="19" spans="1:4" ht="96" x14ac:dyDescent="0.15">
      <c r="A19" s="23">
        <v>18</v>
      </c>
      <c r="B19" s="23" t="s">
        <v>36</v>
      </c>
      <c r="C19" s="10" t="s">
        <v>151</v>
      </c>
      <c r="D19" s="23"/>
    </row>
    <row r="20" spans="1:4" ht="84" x14ac:dyDescent="0.15">
      <c r="A20" s="23">
        <v>19</v>
      </c>
      <c r="B20" s="23" t="s">
        <v>37</v>
      </c>
      <c r="C20" s="10" t="s">
        <v>152</v>
      </c>
      <c r="D20" s="23"/>
    </row>
    <row r="21" spans="1:4" ht="72" x14ac:dyDescent="0.15">
      <c r="A21" s="23">
        <v>20</v>
      </c>
      <c r="B21" s="23" t="s">
        <v>38</v>
      </c>
      <c r="C21" s="10" t="s">
        <v>141</v>
      </c>
      <c r="D21" s="23"/>
    </row>
    <row r="22" spans="1:4" ht="72" x14ac:dyDescent="0.15">
      <c r="A22" s="23">
        <v>21</v>
      </c>
      <c r="B22" s="23" t="s">
        <v>39</v>
      </c>
      <c r="C22" s="10" t="s">
        <v>153</v>
      </c>
      <c r="D22" s="23"/>
    </row>
    <row r="23" spans="1:4" ht="84" x14ac:dyDescent="0.15">
      <c r="A23" s="23">
        <v>22</v>
      </c>
      <c r="B23" s="23" t="s">
        <v>47</v>
      </c>
      <c r="C23" s="10" t="s">
        <v>154</v>
      </c>
      <c r="D23" s="23"/>
    </row>
    <row r="24" spans="1:4" ht="72" x14ac:dyDescent="0.15">
      <c r="A24" s="23">
        <v>23</v>
      </c>
      <c r="B24" s="23" t="s">
        <v>48</v>
      </c>
      <c r="C24" s="10" t="s">
        <v>155</v>
      </c>
      <c r="D24" s="23"/>
    </row>
    <row r="25" spans="1:4" ht="72" x14ac:dyDescent="0.15">
      <c r="A25" s="23">
        <v>24</v>
      </c>
      <c r="B25" s="23" t="s">
        <v>49</v>
      </c>
      <c r="C25" s="10" t="s">
        <v>156</v>
      </c>
      <c r="D25" s="23"/>
    </row>
    <row r="26" spans="1:4" ht="72" x14ac:dyDescent="0.15">
      <c r="A26" s="23">
        <v>25</v>
      </c>
      <c r="B26" s="23" t="s">
        <v>50</v>
      </c>
      <c r="C26" s="10" t="s">
        <v>157</v>
      </c>
      <c r="D26" s="23"/>
    </row>
    <row r="27" spans="1:4" ht="72" x14ac:dyDescent="0.15">
      <c r="A27" s="23">
        <v>26</v>
      </c>
      <c r="B27" s="23" t="s">
        <v>40</v>
      </c>
      <c r="C27" s="10" t="s">
        <v>158</v>
      </c>
      <c r="D27" s="23"/>
    </row>
    <row r="28" spans="1:4" ht="72" x14ac:dyDescent="0.15">
      <c r="A28" s="23">
        <v>27</v>
      </c>
      <c r="B28" s="23" t="s">
        <v>41</v>
      </c>
      <c r="C28" s="10" t="s">
        <v>159</v>
      </c>
      <c r="D28" s="23"/>
    </row>
    <row r="29" spans="1:4" ht="84" x14ac:dyDescent="0.15">
      <c r="A29" s="23">
        <v>28</v>
      </c>
      <c r="B29" s="23" t="s">
        <v>42</v>
      </c>
      <c r="C29" s="10" t="s">
        <v>160</v>
      </c>
      <c r="D29" s="23"/>
    </row>
    <row r="30" spans="1:4" ht="72" x14ac:dyDescent="0.15">
      <c r="A30" s="23">
        <v>29</v>
      </c>
      <c r="B30" s="23" t="s">
        <v>43</v>
      </c>
      <c r="C30" s="10" t="s">
        <v>161</v>
      </c>
      <c r="D30" s="23"/>
    </row>
    <row r="31" spans="1:4" ht="72" x14ac:dyDescent="0.15">
      <c r="A31" s="23">
        <v>30</v>
      </c>
      <c r="B31" s="23" t="s">
        <v>44</v>
      </c>
      <c r="C31" s="10" t="s">
        <v>162</v>
      </c>
      <c r="D31" s="23"/>
    </row>
    <row r="32" spans="1:4" ht="72" x14ac:dyDescent="0.15">
      <c r="A32" s="23">
        <v>31</v>
      </c>
      <c r="B32" s="23" t="s">
        <v>45</v>
      </c>
      <c r="C32" s="10" t="s">
        <v>163</v>
      </c>
      <c r="D32" s="23"/>
    </row>
    <row r="33" spans="1:4" ht="72" x14ac:dyDescent="0.15">
      <c r="A33" s="23">
        <v>32</v>
      </c>
      <c r="B33" s="23" t="s">
        <v>46</v>
      </c>
      <c r="C33" s="10" t="s">
        <v>164</v>
      </c>
      <c r="D33" s="23"/>
    </row>
    <row r="34" spans="1:4" ht="72" x14ac:dyDescent="0.15">
      <c r="A34" s="23">
        <v>33</v>
      </c>
      <c r="B34" s="23" t="s">
        <v>51</v>
      </c>
      <c r="C34" s="10" t="s">
        <v>165</v>
      </c>
      <c r="D34" s="23"/>
    </row>
    <row r="35" spans="1:4" ht="72" x14ac:dyDescent="0.15">
      <c r="A35" s="23">
        <v>34</v>
      </c>
      <c r="B35" s="23" t="s">
        <v>52</v>
      </c>
      <c r="C35" s="10" t="s">
        <v>166</v>
      </c>
      <c r="D35" s="23"/>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619A6-349E-4A6A-95A7-DD3FC7BAC04A}">
  <dimension ref="A1:D12"/>
  <sheetViews>
    <sheetView zoomScale="130" zoomScaleNormal="130" workbookViewId="0">
      <selection activeCell="B3" sqref="B3:C3"/>
    </sheetView>
  </sheetViews>
  <sheetFormatPr defaultColWidth="8.625" defaultRowHeight="15" x14ac:dyDescent="0.3"/>
  <cols>
    <col min="1" max="1" width="8.625" style="7"/>
    <col min="2" max="2" width="14.375" style="7" customWidth="1"/>
    <col min="3" max="3" width="68.125" style="7" customWidth="1"/>
    <col min="4" max="4" width="20.75" style="6" customWidth="1"/>
    <col min="5" max="16384" width="8.625" style="6"/>
  </cols>
  <sheetData>
    <row r="1" spans="1:4" x14ac:dyDescent="0.3">
      <c r="A1" s="23" t="s">
        <v>85</v>
      </c>
      <c r="B1" s="23" t="s">
        <v>86</v>
      </c>
      <c r="C1" s="24" t="s">
        <v>87</v>
      </c>
      <c r="D1" s="23" t="s">
        <v>88</v>
      </c>
    </row>
    <row r="2" spans="1:4" ht="120" x14ac:dyDescent="0.3">
      <c r="A2" s="23">
        <v>1</v>
      </c>
      <c r="B2" s="23" t="s">
        <v>65</v>
      </c>
      <c r="C2" s="10" t="s">
        <v>126</v>
      </c>
      <c r="D2" s="23"/>
    </row>
    <row r="3" spans="1:4" ht="121.5" customHeight="1" x14ac:dyDescent="0.3">
      <c r="A3" s="23">
        <v>2</v>
      </c>
      <c r="B3" s="23" t="s">
        <v>66</v>
      </c>
      <c r="C3" s="10" t="s">
        <v>127</v>
      </c>
      <c r="D3" s="23"/>
    </row>
    <row r="4" spans="1:4" ht="108" x14ac:dyDescent="0.3">
      <c r="A4" s="23">
        <v>3</v>
      </c>
      <c r="B4" s="23" t="s">
        <v>67</v>
      </c>
      <c r="C4" s="10" t="s">
        <v>129</v>
      </c>
      <c r="D4" s="23"/>
    </row>
    <row r="5" spans="1:4" ht="108" x14ac:dyDescent="0.3">
      <c r="A5" s="23">
        <v>4</v>
      </c>
      <c r="B5" s="23" t="s">
        <v>68</v>
      </c>
      <c r="C5" s="10" t="s">
        <v>128</v>
      </c>
      <c r="D5" s="23"/>
    </row>
    <row r="6" spans="1:4" ht="120" x14ac:dyDescent="0.3">
      <c r="A6" s="23">
        <v>5</v>
      </c>
      <c r="B6" s="23" t="s">
        <v>69</v>
      </c>
      <c r="C6" s="10" t="s">
        <v>131</v>
      </c>
      <c r="D6" s="23"/>
    </row>
    <row r="7" spans="1:4" ht="120" x14ac:dyDescent="0.3">
      <c r="A7" s="23">
        <v>6</v>
      </c>
      <c r="B7" s="23" t="s">
        <v>70</v>
      </c>
      <c r="C7" s="10" t="s">
        <v>130</v>
      </c>
      <c r="D7" s="23"/>
    </row>
    <row r="8" spans="1:4" ht="108" x14ac:dyDescent="0.3">
      <c r="A8" s="23">
        <v>7</v>
      </c>
      <c r="B8" s="23" t="s">
        <v>71</v>
      </c>
      <c r="C8" s="10" t="s">
        <v>132</v>
      </c>
      <c r="D8" s="23"/>
    </row>
    <row r="9" spans="1:4" ht="72" x14ac:dyDescent="0.3">
      <c r="A9" s="23">
        <v>8</v>
      </c>
      <c r="B9" s="23" t="s">
        <v>72</v>
      </c>
      <c r="C9" s="10" t="s">
        <v>135</v>
      </c>
      <c r="D9" s="23"/>
    </row>
    <row r="10" spans="1:4" ht="72" x14ac:dyDescent="0.3">
      <c r="A10" s="23">
        <v>9</v>
      </c>
      <c r="B10" s="23" t="s">
        <v>73</v>
      </c>
      <c r="C10" s="10" t="s">
        <v>137</v>
      </c>
      <c r="D10" s="23"/>
    </row>
    <row r="11" spans="1:4" ht="72" x14ac:dyDescent="0.3">
      <c r="A11" s="23">
        <v>10</v>
      </c>
      <c r="B11" s="23" t="s">
        <v>133</v>
      </c>
      <c r="C11" s="10" t="s">
        <v>136</v>
      </c>
      <c r="D11" s="23"/>
    </row>
    <row r="12" spans="1:4" ht="72" x14ac:dyDescent="0.3">
      <c r="A12" s="23">
        <v>11</v>
      </c>
      <c r="B12" s="23" t="s">
        <v>74</v>
      </c>
      <c r="C12" s="10" t="s">
        <v>134</v>
      </c>
      <c r="D12" s="23"/>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ECD72-7580-4220-A945-30B2E5E65092}">
  <dimension ref="A1:D4"/>
  <sheetViews>
    <sheetView zoomScale="130" zoomScaleNormal="130" workbookViewId="0">
      <selection activeCell="D17" sqref="D17"/>
    </sheetView>
  </sheetViews>
  <sheetFormatPr defaultRowHeight="14.25" x14ac:dyDescent="0.2"/>
  <cols>
    <col min="1" max="1" width="8.625" style="1"/>
    <col min="2" max="2" width="20.125" style="1" customWidth="1"/>
    <col min="3" max="3" width="70.625" style="1" customWidth="1"/>
    <col min="4" max="4" width="20.75" customWidth="1"/>
  </cols>
  <sheetData>
    <row r="1" spans="1:4" x14ac:dyDescent="0.2">
      <c r="A1" s="23" t="s">
        <v>85</v>
      </c>
      <c r="B1" s="23" t="s">
        <v>86</v>
      </c>
      <c r="C1" s="24" t="s">
        <v>87</v>
      </c>
      <c r="D1" s="23" t="s">
        <v>88</v>
      </c>
    </row>
    <row r="2" spans="1:4" ht="96.75" x14ac:dyDescent="0.2">
      <c r="A2" s="23">
        <v>1</v>
      </c>
      <c r="B2" s="23" t="s">
        <v>57</v>
      </c>
      <c r="C2" s="9" t="s">
        <v>75</v>
      </c>
      <c r="D2" s="31"/>
    </row>
    <row r="3" spans="1:4" ht="48.75" x14ac:dyDescent="0.2">
      <c r="A3" s="23">
        <v>2</v>
      </c>
      <c r="B3" s="23" t="s">
        <v>58</v>
      </c>
      <c r="C3" s="9" t="s">
        <v>76</v>
      </c>
      <c r="D3" s="31"/>
    </row>
    <row r="4" spans="1:4" ht="60.75" x14ac:dyDescent="0.2">
      <c r="A4" s="23">
        <v>3</v>
      </c>
      <c r="B4" s="23" t="s">
        <v>63</v>
      </c>
      <c r="C4" s="9" t="s">
        <v>77</v>
      </c>
      <c r="D4" s="31"/>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EAD26-FDCD-43A5-903C-31CB7C45C6FA}">
  <dimension ref="A1:D6"/>
  <sheetViews>
    <sheetView workbookViewId="0">
      <selection activeCell="C3" sqref="C3"/>
    </sheetView>
  </sheetViews>
  <sheetFormatPr defaultRowHeight="14.25" x14ac:dyDescent="0.2"/>
  <cols>
    <col min="1" max="1" width="8.625" style="1"/>
    <col min="2" max="2" width="16.625" style="1" customWidth="1"/>
    <col min="3" max="3" width="59.625" style="1" customWidth="1"/>
    <col min="4" max="4" width="19.125" style="1" customWidth="1"/>
  </cols>
  <sheetData>
    <row r="1" spans="1:4" x14ac:dyDescent="0.2">
      <c r="A1" s="23" t="s">
        <v>85</v>
      </c>
      <c r="B1" s="24" t="s">
        <v>86</v>
      </c>
      <c r="C1" s="24" t="s">
        <v>87</v>
      </c>
      <c r="D1" s="14" t="s">
        <v>88</v>
      </c>
    </row>
    <row r="2" spans="1:4" ht="108" x14ac:dyDescent="0.2">
      <c r="A2" s="23">
        <v>1</v>
      </c>
      <c r="B2" s="24" t="s">
        <v>21</v>
      </c>
      <c r="C2" s="32" t="s">
        <v>110</v>
      </c>
      <c r="D2" s="29"/>
    </row>
    <row r="3" spans="1:4" ht="120" x14ac:dyDescent="0.2">
      <c r="A3" s="23">
        <v>2</v>
      </c>
      <c r="B3" s="23" t="s">
        <v>18</v>
      </c>
      <c r="C3" s="32" t="s">
        <v>111</v>
      </c>
      <c r="D3" s="14"/>
    </row>
    <row r="4" spans="1:4" ht="120" x14ac:dyDescent="0.2">
      <c r="A4" s="23">
        <v>3</v>
      </c>
      <c r="B4" s="23" t="s">
        <v>19</v>
      </c>
      <c r="C4" s="32" t="s">
        <v>112</v>
      </c>
      <c r="D4" s="14"/>
    </row>
    <row r="5" spans="1:4" ht="132" x14ac:dyDescent="0.2">
      <c r="A5" s="23">
        <v>4</v>
      </c>
      <c r="B5" s="23" t="s">
        <v>20</v>
      </c>
      <c r="C5" s="32" t="s">
        <v>113</v>
      </c>
      <c r="D5" s="14"/>
    </row>
    <row r="6" spans="1:4" ht="180" x14ac:dyDescent="0.2">
      <c r="A6" s="23">
        <v>5</v>
      </c>
      <c r="B6" s="24" t="s">
        <v>114</v>
      </c>
      <c r="C6" s="32" t="s">
        <v>115</v>
      </c>
      <c r="D6" s="29"/>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A25C2-3B58-497C-A8A3-3BD8B7042B20}">
  <dimension ref="A1:C4"/>
  <sheetViews>
    <sheetView topLeftCell="A3" workbookViewId="0">
      <selection activeCell="M4" sqref="M4"/>
    </sheetView>
  </sheetViews>
  <sheetFormatPr defaultColWidth="8.625" defaultRowHeight="12.75" x14ac:dyDescent="0.2"/>
  <cols>
    <col min="1" max="1" width="8.625" style="4"/>
    <col min="2" max="2" width="23.375" style="4" customWidth="1"/>
    <col min="3" max="3" width="79.25" style="5" customWidth="1"/>
    <col min="4" max="16384" width="8.625" style="3"/>
  </cols>
  <sheetData>
    <row r="1" spans="1:3" ht="15" x14ac:dyDescent="0.3">
      <c r="A1" s="2" t="s">
        <v>59</v>
      </c>
      <c r="B1" s="2" t="s">
        <v>60</v>
      </c>
      <c r="C1" s="2" t="s">
        <v>61</v>
      </c>
    </row>
    <row r="2" spans="1:3" ht="132" x14ac:dyDescent="0.2">
      <c r="A2" s="23">
        <v>1</v>
      </c>
      <c r="B2" s="24" t="s">
        <v>116</v>
      </c>
      <c r="C2" s="10" t="s">
        <v>117</v>
      </c>
    </row>
    <row r="3" spans="1:3" ht="156" x14ac:dyDescent="0.2">
      <c r="A3" s="23">
        <v>2</v>
      </c>
      <c r="B3" s="24" t="s">
        <v>118</v>
      </c>
      <c r="C3" s="10" t="s">
        <v>119</v>
      </c>
    </row>
    <row r="4" spans="1:3" ht="192" x14ac:dyDescent="0.2">
      <c r="A4" s="23">
        <v>3</v>
      </c>
      <c r="B4" s="23" t="s">
        <v>120</v>
      </c>
      <c r="C4" s="10" t="s">
        <v>121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说明</vt:lpstr>
      <vt:lpstr>OmniAccess Stellar</vt:lpstr>
      <vt:lpstr>OmniSwitch</vt:lpstr>
      <vt:lpstr>OmniSwitch (2960 2560 2160)</vt:lpstr>
      <vt:lpstr>OmniSwitch (工业)</vt:lpstr>
      <vt:lpstr>OmniAccess ESR</vt:lpstr>
      <vt:lpstr>OmniAccess Vista2500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Allen</dc:creator>
  <cp:lastModifiedBy>XU Haiming</cp:lastModifiedBy>
  <dcterms:created xsi:type="dcterms:W3CDTF">2015-06-05T18:19:34Z</dcterms:created>
  <dcterms:modified xsi:type="dcterms:W3CDTF">2026-03-06T04:57:31Z</dcterms:modified>
</cp:coreProperties>
</file>